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8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11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p010519p\Documents\GitHub\Game_Prototyping\"/>
    </mc:Choice>
  </mc:AlternateContent>
  <xr:revisionPtr revIDLastSave="0" documentId="13_ncr:1_{4A1FC14F-437C-4126-8D0E-26EFAA3C3761}" xr6:coauthVersionLast="47" xr6:coauthVersionMax="47" xr10:uidLastSave="{00000000-0000-0000-0000-000000000000}"/>
  <bookViews>
    <workbookView xWindow="28680" yWindow="-120" windowWidth="29040" windowHeight="15720" xr2:uid="{D1746064-B435-410F-9CFB-E05465D7C6D5}"/>
  </bookViews>
  <sheets>
    <sheet name="Product Backlog" sheetId="1" r:id="rId1"/>
    <sheet name="Sprint 1" sheetId="2" r:id="rId2"/>
    <sheet name="Sprint 2" sheetId="3" r:id="rId3"/>
    <sheet name="Sprint 3" sheetId="4" r:id="rId4"/>
    <sheet name="Sprint 4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1" i="1" l="1"/>
  <c r="C41" i="1"/>
  <c r="D41" i="1"/>
  <c r="E41" i="1"/>
  <c r="D73" i="1"/>
  <c r="D72" i="1"/>
  <c r="D71" i="1"/>
  <c r="D70" i="1"/>
  <c r="D69" i="1"/>
  <c r="D67" i="1"/>
  <c r="D68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B48" i="1"/>
  <c r="B47" i="1"/>
  <c r="B46" i="1"/>
  <c r="B45" i="1"/>
  <c r="B44" i="1"/>
  <c r="B43" i="1"/>
  <c r="B42" i="1"/>
  <c r="K5" i="1"/>
  <c r="C40" i="1" s="1"/>
  <c r="E42" i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2" i="1"/>
  <c r="B58" i="1"/>
  <c r="B57" i="1"/>
  <c r="B56" i="1"/>
  <c r="B55" i="1"/>
  <c r="B54" i="1"/>
  <c r="B53" i="1"/>
  <c r="B51" i="1"/>
  <c r="B50" i="1"/>
  <c r="B49" i="1"/>
  <c r="E40" i="1"/>
  <c r="D40" i="1"/>
  <c r="B40" i="1"/>
  <c r="B28" i="3"/>
  <c r="B27" i="3"/>
  <c r="B26" i="3"/>
  <c r="B25" i="3"/>
  <c r="B24" i="3"/>
  <c r="B23" i="3"/>
  <c r="B22" i="3"/>
  <c r="B21" i="3"/>
  <c r="K4" i="1"/>
  <c r="D21" i="3"/>
  <c r="B21" i="5"/>
  <c r="B22" i="5" s="1"/>
  <c r="B23" i="5" s="1"/>
  <c r="B24" i="5" s="1"/>
  <c r="B25" i="5" s="1"/>
  <c r="B26" i="5" s="1"/>
  <c r="B27" i="5" s="1"/>
  <c r="E20" i="5"/>
  <c r="E21" i="5" s="1"/>
  <c r="E22" i="5" s="1"/>
  <c r="E23" i="5" s="1"/>
  <c r="E24" i="5" s="1"/>
  <c r="E25" i="5" s="1"/>
  <c r="E26" i="5" s="1"/>
  <c r="E27" i="5" s="1"/>
  <c r="B20" i="5"/>
  <c r="B21" i="4"/>
  <c r="B22" i="4" s="1"/>
  <c r="B23" i="4" s="1"/>
  <c r="B24" i="4" s="1"/>
  <c r="B25" i="4" s="1"/>
  <c r="B26" i="4" s="1"/>
  <c r="B27" i="4" s="1"/>
  <c r="B28" i="4" s="1"/>
  <c r="D20" i="4"/>
  <c r="D21" i="4" s="1"/>
  <c r="D22" i="4" s="1"/>
  <c r="D23" i="4" s="1"/>
  <c r="D24" i="4" s="1"/>
  <c r="D25" i="4" s="1"/>
  <c r="D26" i="4" s="1"/>
  <c r="D27" i="4" s="1"/>
  <c r="D28" i="4" s="1"/>
  <c r="B20" i="4"/>
  <c r="D22" i="3"/>
  <c r="D23" i="3" s="1"/>
  <c r="D24" i="3" s="1"/>
  <c r="D25" i="3" s="1"/>
  <c r="D26" i="3" s="1"/>
  <c r="D27" i="3" s="1"/>
  <c r="D28" i="3" s="1"/>
  <c r="D20" i="3"/>
  <c r="B20" i="3"/>
  <c r="D30" i="2"/>
  <c r="D29" i="2"/>
  <c r="D28" i="2"/>
  <c r="D27" i="2"/>
  <c r="D26" i="2"/>
  <c r="D25" i="2"/>
  <c r="D24" i="2"/>
  <c r="D23" i="2"/>
  <c r="D22" i="2"/>
  <c r="D21" i="2"/>
  <c r="B30" i="2"/>
  <c r="B29" i="2"/>
  <c r="B28" i="2"/>
  <c r="B27" i="2"/>
  <c r="B26" i="2"/>
  <c r="B25" i="2"/>
  <c r="B24" i="2"/>
  <c r="B23" i="2"/>
  <c r="B22" i="2"/>
  <c r="B21" i="2"/>
  <c r="D20" i="2"/>
  <c r="B20" i="2"/>
  <c r="I23" i="5"/>
  <c r="I22" i="5"/>
  <c r="D20" i="5" s="1"/>
  <c r="D21" i="5" s="1"/>
  <c r="D22" i="5" s="1"/>
  <c r="D23" i="5" s="1"/>
  <c r="D24" i="5" s="1"/>
  <c r="D25" i="5" s="1"/>
  <c r="D26" i="5" s="1"/>
  <c r="D27" i="5" s="1"/>
  <c r="I20" i="5"/>
  <c r="C20" i="5" s="1"/>
  <c r="C21" i="5" s="1"/>
  <c r="C22" i="5" s="1"/>
  <c r="C23" i="5" s="1"/>
  <c r="C24" i="5" s="1"/>
  <c r="C25" i="5" s="1"/>
  <c r="C26" i="5" s="1"/>
  <c r="C27" i="5" s="1"/>
  <c r="I19" i="5"/>
  <c r="I23" i="4"/>
  <c r="E20" i="4" s="1"/>
  <c r="E21" i="4" s="1"/>
  <c r="E22" i="4" s="1"/>
  <c r="E23" i="4" s="1"/>
  <c r="E24" i="4" s="1"/>
  <c r="E25" i="4" s="1"/>
  <c r="E26" i="4" s="1"/>
  <c r="E27" i="4" s="1"/>
  <c r="E28" i="4" s="1"/>
  <c r="I22" i="4"/>
  <c r="I20" i="4"/>
  <c r="C20" i="4" s="1"/>
  <c r="C21" i="4" s="1"/>
  <c r="C22" i="4" s="1"/>
  <c r="C23" i="4" s="1"/>
  <c r="C24" i="4" s="1"/>
  <c r="C25" i="4" s="1"/>
  <c r="C26" i="4" s="1"/>
  <c r="C27" i="4" s="1"/>
  <c r="C28" i="4" s="1"/>
  <c r="I19" i="4"/>
  <c r="I23" i="3"/>
  <c r="E20" i="3" s="1"/>
  <c r="I22" i="3"/>
  <c r="I20" i="3"/>
  <c r="C20" i="3" s="1"/>
  <c r="C21" i="3" s="1"/>
  <c r="C22" i="3" s="1"/>
  <c r="C23" i="3" s="1"/>
  <c r="C24" i="3" s="1"/>
  <c r="C25" i="3" s="1"/>
  <c r="C26" i="3" s="1"/>
  <c r="C27" i="3" s="1"/>
  <c r="C28" i="3" s="1"/>
  <c r="I19" i="3"/>
  <c r="I23" i="2"/>
  <c r="E20" i="2" s="1"/>
  <c r="E21" i="2" s="1"/>
  <c r="E22" i="2" s="1"/>
  <c r="E23" i="2" s="1"/>
  <c r="E24" i="2" s="1"/>
  <c r="E25" i="2" s="1"/>
  <c r="E26" i="2" s="1"/>
  <c r="E27" i="2" s="1"/>
  <c r="E28" i="2" s="1"/>
  <c r="E29" i="2" s="1"/>
  <c r="E30" i="2" s="1"/>
  <c r="I22" i="2"/>
  <c r="I20" i="2"/>
  <c r="C20" i="2" s="1"/>
  <c r="C21" i="2" s="1"/>
  <c r="C22" i="2" s="1"/>
  <c r="C23" i="2" s="1"/>
  <c r="C24" i="2" s="1"/>
  <c r="C25" i="2" s="1"/>
  <c r="C26" i="2" s="1"/>
  <c r="C27" i="2" s="1"/>
  <c r="C28" i="2" s="1"/>
  <c r="C29" i="2" s="1"/>
  <c r="C30" i="2" s="1"/>
  <c r="I19" i="2"/>
  <c r="K8" i="1"/>
  <c r="K7" i="1"/>
  <c r="C59" i="1" l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E21" i="3"/>
  <c r="E22" i="3" s="1"/>
  <c r="E23" i="3" s="1"/>
  <c r="E24" i="3" s="1"/>
  <c r="E25" i="3" s="1"/>
  <c r="E26" i="3" s="1"/>
  <c r="E27" i="3" s="1"/>
  <c r="E28" i="3" s="1"/>
</calcChain>
</file>

<file path=xl/sharedStrings.xml><?xml version="1.0" encoding="utf-8"?>
<sst xmlns="http://schemas.openxmlformats.org/spreadsheetml/2006/main" count="291" uniqueCount="66">
  <si>
    <t>Task</t>
  </si>
  <si>
    <t>Expected Completion Time</t>
  </si>
  <si>
    <t>Expected Effort Value</t>
  </si>
  <si>
    <t>Actual Completion Time</t>
  </si>
  <si>
    <t>Actual Effort Value</t>
  </si>
  <si>
    <t>Completed?</t>
  </si>
  <si>
    <t>Notes</t>
  </si>
  <si>
    <t>Create Unity project</t>
  </si>
  <si>
    <t>Download design document Template</t>
  </si>
  <si>
    <t xml:space="preserve">Estimated time taken to complete project: </t>
  </si>
  <si>
    <t>Actual time taken to compelte project:</t>
  </si>
  <si>
    <t>Estimated effort to complete project:</t>
  </si>
  <si>
    <t>Actual effort to complete project:</t>
  </si>
  <si>
    <t>Sprint 1</t>
  </si>
  <si>
    <t xml:space="preserve">Estimated time taken to complete sprint: </t>
  </si>
  <si>
    <t>Actual time taken to compelte sprint:</t>
  </si>
  <si>
    <t>Estimated effort to complete sprint:</t>
  </si>
  <si>
    <t>Actual effort to complete sprint:</t>
  </si>
  <si>
    <t>Sprint 2</t>
  </si>
  <si>
    <t>Sprint 3</t>
  </si>
  <si>
    <t>Sprint 4</t>
  </si>
  <si>
    <t>Yes</t>
  </si>
  <si>
    <t>Create a Player with physics</t>
  </si>
  <si>
    <t>Make a ground in which the player can jump on</t>
  </si>
  <si>
    <t xml:space="preserve">Create a death sequence </t>
  </si>
  <si>
    <t xml:space="preserve">Create a mechanic </t>
  </si>
  <si>
    <t>Make a map</t>
  </si>
  <si>
    <t>In Progress</t>
  </si>
  <si>
    <t xml:space="preserve">Add a dash </t>
  </si>
  <si>
    <t>Scrapped</t>
  </si>
  <si>
    <t>Create jumping and movement W/A/S/D + Space</t>
  </si>
  <si>
    <t>Create a sidescroll style camera</t>
  </si>
  <si>
    <t>make an audio visualiser</t>
  </si>
  <si>
    <t>make a test level</t>
  </si>
  <si>
    <t xml:space="preserve">find a game to reference for the levels </t>
  </si>
  <si>
    <t>post processing effects</t>
  </si>
  <si>
    <t>moving traps/spikes</t>
  </si>
  <si>
    <t>teleporter</t>
  </si>
  <si>
    <t>exit door</t>
  </si>
  <si>
    <t>find a music genre to suit the game</t>
  </si>
  <si>
    <t>make 3 playable levels</t>
  </si>
  <si>
    <t>pause menu</t>
  </si>
  <si>
    <t>Moved to Next Sprint</t>
  </si>
  <si>
    <t>death counter</t>
  </si>
  <si>
    <t>level reset/trap reset on death</t>
  </si>
  <si>
    <t>trigger zones for more complex traps</t>
  </si>
  <si>
    <t>movable platforms</t>
  </si>
  <si>
    <t>camera adjustments</t>
  </si>
  <si>
    <t>main menu</t>
  </si>
  <si>
    <t>2 more levels</t>
  </si>
  <si>
    <t>Hard mode</t>
  </si>
  <si>
    <t xml:space="preserve">skins </t>
  </si>
  <si>
    <t>settings</t>
  </si>
  <si>
    <t xml:space="preserve">This was quite hard to do so I left it for another week to finish </t>
  </si>
  <si>
    <t>Gave up on this for current sprint as it took way too long for some reason I kept running into issues with the buttons not working due to my mouse image overlapping</t>
  </si>
  <si>
    <t>too complex</t>
  </si>
  <si>
    <t>This was hard as I have never doone settings before but I got there</t>
  </si>
  <si>
    <t xml:space="preserve">Dash mechanic did not feel good for the platformer after I made it </t>
  </si>
  <si>
    <t>Mins</t>
  </si>
  <si>
    <t>more death taunts</t>
  </si>
  <si>
    <t>EST Time</t>
  </si>
  <si>
    <t>Burndown Chart</t>
  </si>
  <si>
    <t>Actual Time</t>
  </si>
  <si>
    <t>EST Effort</t>
  </si>
  <si>
    <t>Actual Effort</t>
  </si>
  <si>
    <t>Starting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</si>
</sst>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 tint="0.79998168889431442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0" fillId="3" borderId="3" xfId="0" applyFill="1" applyBorder="1"/>
    <xf numFmtId="0" fontId="0" fillId="3" borderId="5" xfId="0" applyFill="1" applyBorder="1"/>
    <xf numFmtId="0" fontId="0" fillId="0" borderId="3" xfId="0" applyBorder="1"/>
    <xf numFmtId="0" fontId="0" fillId="0" borderId="5" xfId="0" applyBorder="1"/>
    <xf numFmtId="0" fontId="2" fillId="3" borderId="3" xfId="0" applyFont="1" applyFill="1" applyBorder="1"/>
    <xf numFmtId="0" fontId="2" fillId="3" borderId="5" xfId="0" applyFont="1" applyFill="1" applyBorder="1"/>
    <xf numFmtId="0" fontId="1" fillId="4" borderId="5" xfId="0" applyFont="1" applyFill="1" applyBorder="1"/>
    <xf numFmtId="0" fontId="1" fillId="4" borderId="3" xfId="0" applyFont="1" applyFill="1" applyBorder="1"/>
    <xf numFmtId="0" fontId="2" fillId="0" borderId="3" xfId="0" applyFont="1" applyBorder="1"/>
    <xf numFmtId="0" fontId="0" fillId="0" borderId="4" xfId="0" applyBorder="1"/>
    <xf numFmtId="0" fontId="2" fillId="0" borderId="0" xfId="0" applyFont="1"/>
    <xf numFmtId="0" fontId="0" fillId="0" borderId="6" xfId="0" applyBorder="1"/>
    <xf numFmtId="0" fontId="2" fillId="0" borderId="5" xfId="0" applyFont="1" applyBorder="1"/>
    <xf numFmtId="0" fontId="2" fillId="0" borderId="7" xfId="0" applyFont="1" applyBorder="1"/>
    <xf numFmtId="0" fontId="2" fillId="5" borderId="0" xfId="0" applyFont="1" applyFill="1"/>
    <xf numFmtId="0" fontId="0" fillId="5" borderId="0" xfId="0" applyFill="1"/>
    <xf numFmtId="0" fontId="2" fillId="6" borderId="0" xfId="0" applyFont="1" applyFill="1"/>
    <xf numFmtId="0" fontId="0" fillId="6" borderId="0" xfId="0" applyFill="1"/>
    <xf numFmtId="0" fontId="0" fillId="3" borderId="6" xfId="0" applyFill="1" applyBorder="1"/>
    <xf numFmtId="0" fontId="0" fillId="3" borderId="4" xfId="0" applyFill="1" applyBorder="1"/>
  </cellXfs>
  <cellStyles count="1">
    <cellStyle name="Normal" xfId="0" builtinId="0"/>
  </cellStyles>
  <dxfs count="3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Time</a:t>
            </a:r>
            <a:r>
              <a:rPr lang="en-GB" baseline="0"/>
              <a:t> Burndown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'Sprint 1'!$B$19</c:f>
              <c:strCache>
                <c:ptCount val="1"/>
                <c:pt idx="0">
                  <c:v>EST Time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'Sprint 1'!$B$20:$B$30</c:f>
              <c:numCache>
                <c:formatCode>General</c:formatCode>
                <c:ptCount val="11"/>
                <c:pt idx="0">
                  <c:v>270</c:v>
                </c:pt>
                <c:pt idx="1">
                  <c:v>255</c:v>
                </c:pt>
                <c:pt idx="2">
                  <c:v>240</c:v>
                </c:pt>
                <c:pt idx="3">
                  <c:v>225</c:v>
                </c:pt>
                <c:pt idx="4">
                  <c:v>210</c:v>
                </c:pt>
                <c:pt idx="5">
                  <c:v>180</c:v>
                </c:pt>
                <c:pt idx="6">
                  <c:v>150</c:v>
                </c:pt>
                <c:pt idx="7">
                  <c:v>120</c:v>
                </c:pt>
                <c:pt idx="8">
                  <c:v>60</c:v>
                </c:pt>
                <c:pt idx="9">
                  <c:v>30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8C-4DB5-B264-92D4064050D4}"/>
            </c:ext>
          </c:extLst>
        </c:ser>
        <c:ser>
          <c:idx val="1"/>
          <c:order val="1"/>
          <c:tx>
            <c:strRef>
              <c:f>'Sprint 1'!$C$19</c:f>
              <c:strCache>
                <c:ptCount val="1"/>
                <c:pt idx="0">
                  <c:v>Actual Time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'Sprint 1'!$C$20:$C$30</c:f>
              <c:numCache>
                <c:formatCode>General</c:formatCode>
                <c:ptCount val="11"/>
                <c:pt idx="0">
                  <c:v>380</c:v>
                </c:pt>
                <c:pt idx="1">
                  <c:v>375</c:v>
                </c:pt>
                <c:pt idx="2">
                  <c:v>370</c:v>
                </c:pt>
                <c:pt idx="3">
                  <c:v>310</c:v>
                </c:pt>
                <c:pt idx="4">
                  <c:v>295</c:v>
                </c:pt>
                <c:pt idx="5">
                  <c:v>150</c:v>
                </c:pt>
                <c:pt idx="6">
                  <c:v>120</c:v>
                </c:pt>
                <c:pt idx="7">
                  <c:v>60</c:v>
                </c:pt>
                <c:pt idx="8">
                  <c:v>60</c:v>
                </c:pt>
                <c:pt idx="9">
                  <c:v>60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88C-4DB5-B264-92D4064050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96798816"/>
        <c:axId val="2096796896"/>
      </c:lineChart>
      <c:catAx>
        <c:axId val="209679881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6796896"/>
        <c:crosses val="autoZero"/>
        <c:auto val="1"/>
        <c:lblAlgn val="ctr"/>
        <c:lblOffset val="100"/>
        <c:noMultiLvlLbl val="0"/>
      </c:catAx>
      <c:valAx>
        <c:axId val="2096796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6798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Effort</a:t>
            </a:r>
            <a:r>
              <a:rPr lang="en-GB" baseline="0"/>
              <a:t> Burndown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'Sprint 1'!$D$19</c:f>
              <c:strCache>
                <c:ptCount val="1"/>
                <c:pt idx="0">
                  <c:v>EST Effort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'Sprint 1'!$D$20:$D$30</c:f>
              <c:numCache>
                <c:formatCode>General</c:formatCode>
                <c:ptCount val="11"/>
                <c:pt idx="0">
                  <c:v>25</c:v>
                </c:pt>
                <c:pt idx="1">
                  <c:v>24</c:v>
                </c:pt>
                <c:pt idx="2">
                  <c:v>23</c:v>
                </c:pt>
                <c:pt idx="3">
                  <c:v>21</c:v>
                </c:pt>
                <c:pt idx="4">
                  <c:v>20</c:v>
                </c:pt>
                <c:pt idx="5">
                  <c:v>17</c:v>
                </c:pt>
                <c:pt idx="6">
                  <c:v>14</c:v>
                </c:pt>
                <c:pt idx="7">
                  <c:v>10</c:v>
                </c:pt>
                <c:pt idx="8">
                  <c:v>7</c:v>
                </c:pt>
                <c:pt idx="9">
                  <c:v>3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955-4F3E-A2B8-61F6DEAEABE4}"/>
            </c:ext>
          </c:extLst>
        </c:ser>
        <c:ser>
          <c:idx val="1"/>
          <c:order val="1"/>
          <c:tx>
            <c:strRef>
              <c:f>'Sprint 1'!$E$19</c:f>
              <c:strCache>
                <c:ptCount val="1"/>
                <c:pt idx="0">
                  <c:v>Actual Effort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'Sprint 1'!$E$20:$E$30</c:f>
              <c:numCache>
                <c:formatCode>General</c:formatCode>
                <c:ptCount val="11"/>
                <c:pt idx="0">
                  <c:v>24</c:v>
                </c:pt>
                <c:pt idx="1">
                  <c:v>23</c:v>
                </c:pt>
                <c:pt idx="2">
                  <c:v>22</c:v>
                </c:pt>
                <c:pt idx="3">
                  <c:v>21</c:v>
                </c:pt>
                <c:pt idx="4">
                  <c:v>20</c:v>
                </c:pt>
                <c:pt idx="5">
                  <c:v>16</c:v>
                </c:pt>
                <c:pt idx="6">
                  <c:v>12</c:v>
                </c:pt>
                <c:pt idx="7">
                  <c:v>8</c:v>
                </c:pt>
                <c:pt idx="8">
                  <c:v>5</c:v>
                </c:pt>
                <c:pt idx="9">
                  <c:v>5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955-4F3E-A2B8-61F6DEAEAB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9379904"/>
        <c:axId val="2129380384"/>
      </c:lineChart>
      <c:catAx>
        <c:axId val="21293799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9380384"/>
        <c:crosses val="autoZero"/>
        <c:auto val="1"/>
        <c:lblAlgn val="ctr"/>
        <c:lblOffset val="100"/>
        <c:noMultiLvlLbl val="0"/>
      </c:catAx>
      <c:valAx>
        <c:axId val="2129380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9379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15105103"/>
        <c:axId val="1615107503"/>
      </c:lineChart>
      <c:catAx>
        <c:axId val="161510510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5107503"/>
        <c:crosses val="autoZero"/>
        <c:auto val="1"/>
        <c:lblAlgn val="ctr"/>
        <c:lblOffset val="100"/>
        <c:noMultiLvlLbl val="0"/>
      </c:catAx>
      <c:valAx>
        <c:axId val="1615107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5105103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Time Burndown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'Sprint 2'!$B$19</c:f>
              <c:strCache>
                <c:ptCount val="1"/>
                <c:pt idx="0">
                  <c:v>EST Time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'Sprint 2'!$B$20:$B$30</c:f>
              <c:numCache>
                <c:formatCode>General</c:formatCode>
                <c:ptCount val="11"/>
                <c:pt idx="0">
                  <c:v>225</c:v>
                </c:pt>
                <c:pt idx="1">
                  <c:v>210</c:v>
                </c:pt>
                <c:pt idx="2">
                  <c:v>150</c:v>
                </c:pt>
                <c:pt idx="3">
                  <c:v>135</c:v>
                </c:pt>
                <c:pt idx="4">
                  <c:v>120</c:v>
                </c:pt>
                <c:pt idx="5">
                  <c:v>90</c:v>
                </c:pt>
                <c:pt idx="6">
                  <c:v>30</c:v>
                </c:pt>
                <c:pt idx="7">
                  <c:v>15</c:v>
                </c:pt>
                <c:pt idx="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CB4-4028-8CE2-7695C7942D5D}"/>
            </c:ext>
          </c:extLst>
        </c:ser>
        <c:ser>
          <c:idx val="1"/>
          <c:order val="1"/>
          <c:tx>
            <c:strRef>
              <c:f>'Sprint 2'!$C$19</c:f>
              <c:strCache>
                <c:ptCount val="1"/>
                <c:pt idx="0">
                  <c:v>Actual Time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'Sprint 2'!$C$20:$C$30</c:f>
              <c:numCache>
                <c:formatCode>General</c:formatCode>
                <c:ptCount val="11"/>
                <c:pt idx="0">
                  <c:v>214</c:v>
                </c:pt>
                <c:pt idx="1">
                  <c:v>205</c:v>
                </c:pt>
                <c:pt idx="2">
                  <c:v>205</c:v>
                </c:pt>
                <c:pt idx="3">
                  <c:v>195</c:v>
                </c:pt>
                <c:pt idx="4">
                  <c:v>165</c:v>
                </c:pt>
                <c:pt idx="5">
                  <c:v>105</c:v>
                </c:pt>
                <c:pt idx="6">
                  <c:v>45</c:v>
                </c:pt>
                <c:pt idx="7">
                  <c:v>15</c:v>
                </c:pt>
                <c:pt idx="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CB4-4028-8CE2-7695C7942D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96124976"/>
        <c:axId val="1096124016"/>
      </c:lineChart>
      <c:catAx>
        <c:axId val="10961249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6124016"/>
        <c:crosses val="autoZero"/>
        <c:auto val="1"/>
        <c:lblAlgn val="ctr"/>
        <c:lblOffset val="100"/>
        <c:noMultiLvlLbl val="0"/>
      </c:catAx>
      <c:valAx>
        <c:axId val="109612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6124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Effort Burndown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'Sprint 2'!$D$19</c:f>
              <c:strCache>
                <c:ptCount val="1"/>
                <c:pt idx="0">
                  <c:v>EST Effort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'Sprint 2'!$D$20:$D$30</c:f>
              <c:numCache>
                <c:formatCode>General</c:formatCode>
                <c:ptCount val="11"/>
                <c:pt idx="0">
                  <c:v>18</c:v>
                </c:pt>
                <c:pt idx="1">
                  <c:v>17</c:v>
                </c:pt>
                <c:pt idx="2">
                  <c:v>12</c:v>
                </c:pt>
                <c:pt idx="3">
                  <c:v>11</c:v>
                </c:pt>
                <c:pt idx="4">
                  <c:v>9</c:v>
                </c:pt>
                <c:pt idx="5">
                  <c:v>6</c:v>
                </c:pt>
                <c:pt idx="6">
                  <c:v>3</c:v>
                </c:pt>
                <c:pt idx="7">
                  <c:v>1</c:v>
                </c:pt>
                <c:pt idx="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133-4CDD-B01B-7949260B63D7}"/>
            </c:ext>
          </c:extLst>
        </c:ser>
        <c:ser>
          <c:idx val="1"/>
          <c:order val="1"/>
          <c:tx>
            <c:strRef>
              <c:f>'Sprint 2'!$E$19</c:f>
              <c:strCache>
                <c:ptCount val="1"/>
                <c:pt idx="0">
                  <c:v>Actual Effort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'Sprint 2'!$E$20:$E$30</c:f>
              <c:numCache>
                <c:formatCode>General</c:formatCode>
                <c:ptCount val="11"/>
                <c:pt idx="0">
                  <c:v>21</c:v>
                </c:pt>
                <c:pt idx="1">
                  <c:v>20</c:v>
                </c:pt>
                <c:pt idx="2">
                  <c:v>15</c:v>
                </c:pt>
                <c:pt idx="3">
                  <c:v>14</c:v>
                </c:pt>
                <c:pt idx="4">
                  <c:v>11</c:v>
                </c:pt>
                <c:pt idx="5">
                  <c:v>7</c:v>
                </c:pt>
                <c:pt idx="6">
                  <c:v>3</c:v>
                </c:pt>
                <c:pt idx="7">
                  <c:v>1</c:v>
                </c:pt>
                <c:pt idx="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133-4CDD-B01B-7949260B63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96118464"/>
        <c:axId val="2133376848"/>
      </c:lineChart>
      <c:catAx>
        <c:axId val="10961184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3376848"/>
        <c:crosses val="autoZero"/>
        <c:auto val="1"/>
        <c:lblAlgn val="ctr"/>
        <c:lblOffset val="100"/>
        <c:noMultiLvlLbl val="0"/>
      </c:catAx>
      <c:valAx>
        <c:axId val="2133376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6118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15105103"/>
        <c:axId val="1615107503"/>
      </c:lineChart>
      <c:catAx>
        <c:axId val="161510510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5107503"/>
        <c:crosses val="autoZero"/>
        <c:auto val="1"/>
        <c:lblAlgn val="ctr"/>
        <c:lblOffset val="100"/>
        <c:noMultiLvlLbl val="0"/>
      </c:catAx>
      <c:valAx>
        <c:axId val="1615107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5105103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Time</a:t>
            </a:r>
            <a:r>
              <a:rPr lang="en-GB" baseline="0"/>
              <a:t> Burndown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'Sprint 3'!$B$19</c:f>
              <c:strCache>
                <c:ptCount val="1"/>
                <c:pt idx="0">
                  <c:v>EST Time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'Sprint 3'!$B$20:$B$30</c:f>
              <c:numCache>
                <c:formatCode>General</c:formatCode>
                <c:ptCount val="11"/>
                <c:pt idx="0">
                  <c:v>540</c:v>
                </c:pt>
                <c:pt idx="1">
                  <c:v>480</c:v>
                </c:pt>
                <c:pt idx="2">
                  <c:v>360</c:v>
                </c:pt>
                <c:pt idx="3">
                  <c:v>240</c:v>
                </c:pt>
                <c:pt idx="4">
                  <c:v>225</c:v>
                </c:pt>
                <c:pt idx="5">
                  <c:v>105</c:v>
                </c:pt>
                <c:pt idx="6">
                  <c:v>45</c:v>
                </c:pt>
                <c:pt idx="7">
                  <c:v>15</c:v>
                </c:pt>
                <c:pt idx="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A8-4E10-AB00-3A36C4E69E8B}"/>
            </c:ext>
          </c:extLst>
        </c:ser>
        <c:ser>
          <c:idx val="1"/>
          <c:order val="1"/>
          <c:tx>
            <c:strRef>
              <c:f>'Sprint 3'!$C$19</c:f>
              <c:strCache>
                <c:ptCount val="1"/>
                <c:pt idx="0">
                  <c:v>Actual Time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'Sprint 3'!$C$20:$C$30</c:f>
              <c:numCache>
                <c:formatCode>General</c:formatCode>
                <c:ptCount val="11"/>
                <c:pt idx="0">
                  <c:v>480</c:v>
                </c:pt>
                <c:pt idx="1">
                  <c:v>360</c:v>
                </c:pt>
                <c:pt idx="2">
                  <c:v>240</c:v>
                </c:pt>
                <c:pt idx="3">
                  <c:v>240</c:v>
                </c:pt>
                <c:pt idx="4">
                  <c:v>210</c:v>
                </c:pt>
                <c:pt idx="5">
                  <c:v>120</c:v>
                </c:pt>
                <c:pt idx="6">
                  <c:v>60</c:v>
                </c:pt>
                <c:pt idx="7">
                  <c:v>30</c:v>
                </c:pt>
                <c:pt idx="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EA8-4E10-AB00-3A36C4E69E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80720672"/>
        <c:axId val="1780721152"/>
      </c:lineChart>
      <c:catAx>
        <c:axId val="178072067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721152"/>
        <c:crosses val="autoZero"/>
        <c:auto val="1"/>
        <c:lblAlgn val="ctr"/>
        <c:lblOffset val="100"/>
        <c:noMultiLvlLbl val="0"/>
      </c:catAx>
      <c:valAx>
        <c:axId val="1780721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720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Effort Burdown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'Sprint 3'!$D$19</c:f>
              <c:strCache>
                <c:ptCount val="1"/>
                <c:pt idx="0">
                  <c:v>EST Effort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'Sprint 3'!$D$20:$D$30</c:f>
              <c:numCache>
                <c:formatCode>General</c:formatCode>
                <c:ptCount val="11"/>
                <c:pt idx="0">
                  <c:v>24</c:v>
                </c:pt>
                <c:pt idx="1">
                  <c:v>19</c:v>
                </c:pt>
                <c:pt idx="2">
                  <c:v>16</c:v>
                </c:pt>
                <c:pt idx="3">
                  <c:v>12</c:v>
                </c:pt>
                <c:pt idx="4">
                  <c:v>10</c:v>
                </c:pt>
                <c:pt idx="5">
                  <c:v>7</c:v>
                </c:pt>
                <c:pt idx="6">
                  <c:v>4</c:v>
                </c:pt>
                <c:pt idx="7">
                  <c:v>2</c:v>
                </c:pt>
                <c:pt idx="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77-4C24-BD56-E1AFDFEA0D01}"/>
            </c:ext>
          </c:extLst>
        </c:ser>
        <c:ser>
          <c:idx val="1"/>
          <c:order val="1"/>
          <c:tx>
            <c:strRef>
              <c:f>'Sprint 3'!$E$19</c:f>
              <c:strCache>
                <c:ptCount val="1"/>
                <c:pt idx="0">
                  <c:v>Actual Effort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'Sprint 3'!$E$20:$E$30</c:f>
              <c:numCache>
                <c:formatCode>General</c:formatCode>
                <c:ptCount val="11"/>
                <c:pt idx="0">
                  <c:v>28</c:v>
                </c:pt>
                <c:pt idx="1">
                  <c:v>23</c:v>
                </c:pt>
                <c:pt idx="2">
                  <c:v>20</c:v>
                </c:pt>
                <c:pt idx="3">
                  <c:v>15</c:v>
                </c:pt>
                <c:pt idx="4">
                  <c:v>13</c:v>
                </c:pt>
                <c:pt idx="5">
                  <c:v>9</c:v>
                </c:pt>
                <c:pt idx="6">
                  <c:v>5</c:v>
                </c:pt>
                <c:pt idx="7">
                  <c:v>2</c:v>
                </c:pt>
                <c:pt idx="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F77-4C24-BD56-E1AFDFEA0D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96146016"/>
        <c:axId val="1096146496"/>
      </c:lineChart>
      <c:catAx>
        <c:axId val="109614601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6146496"/>
        <c:crosses val="autoZero"/>
        <c:auto val="1"/>
        <c:lblAlgn val="ctr"/>
        <c:lblOffset val="100"/>
        <c:noMultiLvlLbl val="0"/>
      </c:catAx>
      <c:valAx>
        <c:axId val="1096146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6146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15105103"/>
        <c:axId val="1615107503"/>
      </c:lineChart>
      <c:catAx>
        <c:axId val="161510510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5107503"/>
        <c:crosses val="autoZero"/>
        <c:auto val="1"/>
        <c:lblAlgn val="ctr"/>
        <c:lblOffset val="100"/>
        <c:noMultiLvlLbl val="0"/>
      </c:catAx>
      <c:valAx>
        <c:axId val="1615107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5105103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Time Burndown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'Sprint 4'!$B$19</c:f>
              <c:strCache>
                <c:ptCount val="1"/>
                <c:pt idx="0">
                  <c:v>EST Time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'Sprint 4'!$B$20:$B$30</c:f>
              <c:numCache>
                <c:formatCode>General</c:formatCode>
                <c:ptCount val="11"/>
                <c:pt idx="0">
                  <c:v>375</c:v>
                </c:pt>
                <c:pt idx="1">
                  <c:v>315</c:v>
                </c:pt>
                <c:pt idx="2">
                  <c:v>255</c:v>
                </c:pt>
                <c:pt idx="3">
                  <c:v>240</c:v>
                </c:pt>
                <c:pt idx="4">
                  <c:v>120</c:v>
                </c:pt>
                <c:pt idx="5">
                  <c:v>120</c:v>
                </c:pt>
                <c:pt idx="6">
                  <c:v>120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26-4BBB-91A7-A00209814E72}"/>
            </c:ext>
          </c:extLst>
        </c:ser>
        <c:ser>
          <c:idx val="1"/>
          <c:order val="1"/>
          <c:tx>
            <c:strRef>
              <c:f>'Sprint 4'!$C$19</c:f>
              <c:strCache>
                <c:ptCount val="1"/>
                <c:pt idx="0">
                  <c:v>Actual Time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'Sprint 4'!$C$20:$C$30</c:f>
              <c:numCache>
                <c:formatCode>General</c:formatCode>
                <c:ptCount val="11"/>
                <c:pt idx="0">
                  <c:v>590</c:v>
                </c:pt>
                <c:pt idx="1">
                  <c:v>500</c:v>
                </c:pt>
                <c:pt idx="2">
                  <c:v>410</c:v>
                </c:pt>
                <c:pt idx="3">
                  <c:v>380</c:v>
                </c:pt>
                <c:pt idx="4">
                  <c:v>200</c:v>
                </c:pt>
                <c:pt idx="5">
                  <c:v>200</c:v>
                </c:pt>
                <c:pt idx="6">
                  <c:v>200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E26-4BBB-91A7-A00209814E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9107088"/>
        <c:axId val="2129108528"/>
      </c:lineChart>
      <c:catAx>
        <c:axId val="21291070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9108528"/>
        <c:crosses val="autoZero"/>
        <c:auto val="1"/>
        <c:lblAlgn val="ctr"/>
        <c:lblOffset val="100"/>
        <c:noMultiLvlLbl val="0"/>
      </c:catAx>
      <c:valAx>
        <c:axId val="2129108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9107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Effort Burndown</a:t>
            </a:r>
          </a:p>
        </c:rich>
      </c:tx>
      <c:layout>
        <c:manualLayout>
          <c:xMode val="edge"/>
          <c:yMode val="edge"/>
          <c:x val="0.37367955410068121"/>
          <c:y val="2.75387313101641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'Sprint 4'!$D$19</c:f>
              <c:strCache>
                <c:ptCount val="1"/>
                <c:pt idx="0">
                  <c:v>EST Effort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'Sprint 4'!$D$20:$D$30</c:f>
              <c:numCache>
                <c:formatCode>General</c:formatCode>
                <c:ptCount val="11"/>
                <c:pt idx="0">
                  <c:v>13</c:v>
                </c:pt>
                <c:pt idx="1">
                  <c:v>9</c:v>
                </c:pt>
                <c:pt idx="2">
                  <c:v>7</c:v>
                </c:pt>
                <c:pt idx="3">
                  <c:v>5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B7F-4CF5-93B0-791C22439951}"/>
            </c:ext>
          </c:extLst>
        </c:ser>
        <c:ser>
          <c:idx val="1"/>
          <c:order val="1"/>
          <c:tx>
            <c:strRef>
              <c:f>'Sprint 4'!$E$19</c:f>
              <c:strCache>
                <c:ptCount val="1"/>
                <c:pt idx="0">
                  <c:v>Actual Effort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'Sprint 4'!$E$20:$E$30</c:f>
              <c:numCache>
                <c:formatCode>General</c:formatCode>
                <c:ptCount val="11"/>
                <c:pt idx="0">
                  <c:v>18</c:v>
                </c:pt>
                <c:pt idx="1">
                  <c:v>13</c:v>
                </c:pt>
                <c:pt idx="2">
                  <c:v>10</c:v>
                </c:pt>
                <c:pt idx="3">
                  <c:v>8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B7F-4CF5-93B0-791C224399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09699600"/>
        <c:axId val="2009699120"/>
      </c:lineChart>
      <c:catAx>
        <c:axId val="200969960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9699120"/>
        <c:crosses val="autoZero"/>
        <c:auto val="1"/>
        <c:lblAlgn val="ctr"/>
        <c:lblOffset val="100"/>
        <c:noMultiLvlLbl val="0"/>
      </c:catAx>
      <c:valAx>
        <c:axId val="2009699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9699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872066</xdr:colOff>
      <xdr:row>9</xdr:row>
      <xdr:rowOff>133349</xdr:rowOff>
    </xdr:from>
    <xdr:to>
      <xdr:col>15</xdr:col>
      <xdr:colOff>133350</xdr:colOff>
      <xdr:row>20</xdr:row>
      <xdr:rowOff>123824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E6635C3C-DAB9-6A10-330A-8D23212EED04}"/>
            </a:ext>
          </a:extLst>
        </xdr:cNvPr>
        <xdr:cNvSpPr/>
      </xdr:nvSpPr>
      <xdr:spPr>
        <a:xfrm>
          <a:off x="13148733" y="1771649"/>
          <a:ext cx="5886450" cy="199284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/>
            <a:t>Key:</a:t>
          </a:r>
        </a:p>
        <a:p>
          <a:pPr algn="l"/>
          <a:r>
            <a:rPr lang="en-GB" sz="1100"/>
            <a:t>Expected Completion time</a:t>
          </a:r>
          <a:r>
            <a:rPr lang="en-GB" sz="1100" baseline="0"/>
            <a:t> is in blocks of 15 minutes, e.g 15, 30, 45 ...120 - this could be changed to suit your project, but time blocks work well here!</a:t>
          </a:r>
        </a:p>
        <a:p>
          <a:pPr algn="l"/>
          <a:endParaRPr lang="en-GB" sz="1100" baseline="0"/>
        </a:p>
        <a:p>
          <a:pPr algn="l"/>
          <a:r>
            <a:rPr lang="en-GB" sz="1100" baseline="0"/>
            <a:t>Effort Values are between 1-5</a:t>
          </a:r>
        </a:p>
        <a:p>
          <a:pPr algn="l"/>
          <a:r>
            <a:rPr lang="en-GB" sz="1100" baseline="0"/>
            <a:t>1 being easy</a:t>
          </a:r>
        </a:p>
        <a:p>
          <a:pPr algn="l"/>
          <a:r>
            <a:rPr lang="en-GB" sz="1100" baseline="0"/>
            <a:t>5 being very difficult</a:t>
          </a:r>
        </a:p>
        <a:p>
          <a:pPr algn="l"/>
          <a:r>
            <a:rPr lang="en-GB" sz="1100" baseline="0"/>
            <a:t>Again, this could be changed here, but this set of numbers works well!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600075</xdr:colOff>
      <xdr:row>1</xdr:row>
      <xdr:rowOff>66676</xdr:rowOff>
    </xdr:from>
    <xdr:to>
      <xdr:col>9</xdr:col>
      <xdr:colOff>447675</xdr:colOff>
      <xdr:row>5</xdr:row>
      <xdr:rowOff>104776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578ECE3D-41A5-45E7-9507-47778CEBD5F4}"/>
            </a:ext>
          </a:extLst>
        </xdr:cNvPr>
        <xdr:cNvSpPr/>
      </xdr:nvSpPr>
      <xdr:spPr>
        <a:xfrm>
          <a:off x="11115675" y="257176"/>
          <a:ext cx="3524250" cy="8001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/>
            <a:t>Here you can put your actual sprint tasks,</a:t>
          </a:r>
          <a:r>
            <a:rPr lang="en-GB" sz="1100" baseline="0"/>
            <a:t> as you complete tasks, remember to update your full product backlog!</a:t>
          </a:r>
        </a:p>
      </xdr:txBody>
    </xdr:sp>
    <xdr:clientData/>
  </xdr:twoCellAnchor>
  <xdr:twoCellAnchor>
    <xdr:from>
      <xdr:col>11</xdr:col>
      <xdr:colOff>9525</xdr:colOff>
      <xdr:row>4</xdr:row>
      <xdr:rowOff>28576</xdr:rowOff>
    </xdr:from>
    <xdr:to>
      <xdr:col>15</xdr:col>
      <xdr:colOff>523875</xdr:colOff>
      <xdr:row>11</xdr:row>
      <xdr:rowOff>38100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1EE5774B-4E3B-4E61-BD21-145360D9A92B}"/>
            </a:ext>
          </a:extLst>
        </xdr:cNvPr>
        <xdr:cNvSpPr/>
      </xdr:nvSpPr>
      <xdr:spPr>
        <a:xfrm>
          <a:off x="15420975" y="790576"/>
          <a:ext cx="2952750" cy="1343024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/>
            <a:t>Sprint Analysis:</a:t>
          </a:r>
        </a:p>
        <a:p>
          <a:pPr algn="l"/>
          <a:r>
            <a:rPr lang="en-GB" sz="1100" baseline="0"/>
            <a:t>After you have finished each sprint,  you can work out how productive you actually were!</a:t>
          </a:r>
        </a:p>
        <a:p>
          <a:pPr algn="l"/>
          <a:endParaRPr lang="en-GB" sz="1100" baseline="0"/>
        </a:p>
        <a:p>
          <a:pPr algn="l"/>
          <a:r>
            <a:rPr lang="en-GB" sz="1100" baseline="0"/>
            <a:t>Turn this empty chart into a Burndown Chart</a:t>
          </a:r>
        </a:p>
        <a:p>
          <a:pPr algn="l"/>
          <a:r>
            <a:rPr lang="en-GB" sz="1100" baseline="0"/>
            <a:t>You could put any other analysis here!</a:t>
          </a:r>
        </a:p>
      </xdr:txBody>
    </xdr:sp>
    <xdr:clientData/>
  </xdr:twoCellAnchor>
  <xdr:twoCellAnchor>
    <xdr:from>
      <xdr:col>11</xdr:col>
      <xdr:colOff>9525</xdr:colOff>
      <xdr:row>29</xdr:row>
      <xdr:rowOff>38100</xdr:rowOff>
    </xdr:from>
    <xdr:to>
      <xdr:col>15</xdr:col>
      <xdr:colOff>523875</xdr:colOff>
      <xdr:row>34</xdr:row>
      <xdr:rowOff>47624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7B82811D-F678-4F9A-99C1-53DB9915BF42}"/>
            </a:ext>
          </a:extLst>
        </xdr:cNvPr>
        <xdr:cNvSpPr/>
      </xdr:nvSpPr>
      <xdr:spPr>
        <a:xfrm>
          <a:off x="15420975" y="5562600"/>
          <a:ext cx="2952750" cy="962024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/>
            <a:t>Why</a:t>
          </a:r>
          <a:r>
            <a:rPr lang="en-GB" sz="1100" baseline="0"/>
            <a:t> not also reflect a little? Write overall how it went!</a:t>
          </a:r>
        </a:p>
      </xdr:txBody>
    </xdr:sp>
    <xdr:clientData/>
  </xdr:twoCellAnchor>
  <xdr:twoCellAnchor>
    <xdr:from>
      <xdr:col>1</xdr:col>
      <xdr:colOff>9524</xdr:colOff>
      <xdr:row>31</xdr:row>
      <xdr:rowOff>9524</xdr:rowOff>
    </xdr:from>
    <xdr:to>
      <xdr:col>3</xdr:col>
      <xdr:colOff>4761</xdr:colOff>
      <xdr:row>46</xdr:row>
      <xdr:rowOff>33336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268300D-9550-9906-160F-7FB9884C2F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9525</xdr:colOff>
      <xdr:row>31</xdr:row>
      <xdr:rowOff>0</xdr:rowOff>
    </xdr:from>
    <xdr:to>
      <xdr:col>5</xdr:col>
      <xdr:colOff>28575</xdr:colOff>
      <xdr:row>46</xdr:row>
      <xdr:rowOff>33337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3B4F747-626C-D75D-8837-D7DD637715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390525</xdr:colOff>
      <xdr:row>0</xdr:row>
      <xdr:rowOff>171451</xdr:rowOff>
    </xdr:from>
    <xdr:to>
      <xdr:col>13</xdr:col>
      <xdr:colOff>295275</xdr:colOff>
      <xdr:row>5</xdr:row>
      <xdr:rowOff>19051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DF8E8F6D-6362-4251-AB20-B0CD4605E705}"/>
            </a:ext>
          </a:extLst>
        </xdr:cNvPr>
        <xdr:cNvSpPr/>
      </xdr:nvSpPr>
      <xdr:spPr>
        <a:xfrm>
          <a:off x="11268075" y="171451"/>
          <a:ext cx="3524250" cy="8001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/>
            <a:t>Here you can put your actual sprint tasks,</a:t>
          </a:r>
          <a:r>
            <a:rPr lang="en-GB" sz="1100" baseline="0"/>
            <a:t> as you complete tasks, remember to update your full product backlog!</a:t>
          </a:r>
        </a:p>
      </xdr:txBody>
    </xdr:sp>
    <xdr:clientData/>
  </xdr:twoCellAnchor>
  <xdr:twoCellAnchor>
    <xdr:from>
      <xdr:col>15</xdr:col>
      <xdr:colOff>200025</xdr:colOff>
      <xdr:row>4</xdr:row>
      <xdr:rowOff>57151</xdr:rowOff>
    </xdr:from>
    <xdr:to>
      <xdr:col>20</xdr:col>
      <xdr:colOff>104775</xdr:colOff>
      <xdr:row>11</xdr:row>
      <xdr:rowOff>66675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B0F0DE32-5D6E-4F03-9BCF-C33D28904E73}"/>
            </a:ext>
          </a:extLst>
        </xdr:cNvPr>
        <xdr:cNvSpPr/>
      </xdr:nvSpPr>
      <xdr:spPr>
        <a:xfrm>
          <a:off x="15916275" y="819151"/>
          <a:ext cx="2952750" cy="1343024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/>
            <a:t>Sprint Analysis:</a:t>
          </a:r>
        </a:p>
        <a:p>
          <a:pPr algn="l"/>
          <a:r>
            <a:rPr lang="en-GB" sz="1100" baseline="0"/>
            <a:t>After you have finished each sprint,  you can work out how productive you actually were!</a:t>
          </a:r>
        </a:p>
        <a:p>
          <a:pPr algn="l"/>
          <a:endParaRPr lang="en-GB" sz="1100" baseline="0"/>
        </a:p>
        <a:p>
          <a:pPr algn="l"/>
          <a:r>
            <a:rPr lang="en-GB" sz="1100" baseline="0"/>
            <a:t>Turn this empty chart into a Burndown Chart</a:t>
          </a:r>
        </a:p>
        <a:p>
          <a:pPr algn="l"/>
          <a:r>
            <a:rPr lang="en-GB" sz="1100" baseline="0"/>
            <a:t>You could put any other analysis here!</a:t>
          </a:r>
        </a:p>
      </xdr:txBody>
    </xdr:sp>
    <xdr:clientData/>
  </xdr:twoCellAnchor>
  <xdr:twoCellAnchor>
    <xdr:from>
      <xdr:col>15</xdr:col>
      <xdr:colOff>19050</xdr:colOff>
      <xdr:row>13</xdr:row>
      <xdr:rowOff>90487</xdr:rowOff>
    </xdr:from>
    <xdr:to>
      <xdr:col>22</xdr:col>
      <xdr:colOff>323850</xdr:colOff>
      <xdr:row>27</xdr:row>
      <xdr:rowOff>166687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8969373-2708-4EA6-891F-B5D8E4C51B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123825</xdr:colOff>
      <xdr:row>30</xdr:row>
      <xdr:rowOff>9525</xdr:rowOff>
    </xdr:from>
    <xdr:to>
      <xdr:col>20</xdr:col>
      <xdr:colOff>28575</xdr:colOff>
      <xdr:row>35</xdr:row>
      <xdr:rowOff>19049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F412C7F8-E2C6-41AB-9C63-64A81A5F68B4}"/>
            </a:ext>
          </a:extLst>
        </xdr:cNvPr>
        <xdr:cNvSpPr/>
      </xdr:nvSpPr>
      <xdr:spPr>
        <a:xfrm>
          <a:off x="15840075" y="5724525"/>
          <a:ext cx="2952750" cy="962024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/>
            <a:t>Why</a:t>
          </a:r>
          <a:r>
            <a:rPr lang="en-GB" sz="1100" baseline="0"/>
            <a:t> not also reflect a little? Write overall how it went!</a:t>
          </a:r>
        </a:p>
      </xdr:txBody>
    </xdr:sp>
    <xdr:clientData/>
  </xdr:twoCellAnchor>
  <xdr:twoCellAnchor>
    <xdr:from>
      <xdr:col>0</xdr:col>
      <xdr:colOff>2305050</xdr:colOff>
      <xdr:row>30</xdr:row>
      <xdr:rowOff>66675</xdr:rowOff>
    </xdr:from>
    <xdr:to>
      <xdr:col>3</xdr:col>
      <xdr:colOff>0</xdr:colOff>
      <xdr:row>45</xdr:row>
      <xdr:rowOff>61912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B3FD024-008C-3CF7-0A28-2061D081A9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9525</xdr:colOff>
      <xdr:row>30</xdr:row>
      <xdr:rowOff>66676</xdr:rowOff>
    </xdr:from>
    <xdr:to>
      <xdr:col>5</xdr:col>
      <xdr:colOff>9525</xdr:colOff>
      <xdr:row>45</xdr:row>
      <xdr:rowOff>128587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A9ACD223-36F9-C57F-CA97-4D408CF632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390525</xdr:colOff>
      <xdr:row>0</xdr:row>
      <xdr:rowOff>171451</xdr:rowOff>
    </xdr:from>
    <xdr:to>
      <xdr:col>13</xdr:col>
      <xdr:colOff>295275</xdr:colOff>
      <xdr:row>5</xdr:row>
      <xdr:rowOff>19051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CE5FA5D7-C3C6-4C9C-B650-4A869C98FE2E}"/>
            </a:ext>
          </a:extLst>
        </xdr:cNvPr>
        <xdr:cNvSpPr/>
      </xdr:nvSpPr>
      <xdr:spPr>
        <a:xfrm>
          <a:off x="11268075" y="171451"/>
          <a:ext cx="3524250" cy="8001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/>
            <a:t>Here you can put your actual sprint tasks,</a:t>
          </a:r>
          <a:r>
            <a:rPr lang="en-GB" sz="1100" baseline="0"/>
            <a:t> as you complete tasks, remember to update your full product backlog!</a:t>
          </a:r>
        </a:p>
      </xdr:txBody>
    </xdr:sp>
    <xdr:clientData/>
  </xdr:twoCellAnchor>
  <xdr:twoCellAnchor>
    <xdr:from>
      <xdr:col>15</xdr:col>
      <xdr:colOff>200025</xdr:colOff>
      <xdr:row>4</xdr:row>
      <xdr:rowOff>57151</xdr:rowOff>
    </xdr:from>
    <xdr:to>
      <xdr:col>20</xdr:col>
      <xdr:colOff>104775</xdr:colOff>
      <xdr:row>11</xdr:row>
      <xdr:rowOff>66675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AFC72CE5-0FCD-4791-9809-02A767F425DC}"/>
            </a:ext>
          </a:extLst>
        </xdr:cNvPr>
        <xdr:cNvSpPr/>
      </xdr:nvSpPr>
      <xdr:spPr>
        <a:xfrm>
          <a:off x="15916275" y="819151"/>
          <a:ext cx="2952750" cy="1343024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/>
            <a:t>Sprint Analysis:</a:t>
          </a:r>
        </a:p>
        <a:p>
          <a:pPr algn="l"/>
          <a:r>
            <a:rPr lang="en-GB" sz="1100" baseline="0"/>
            <a:t>After you have finished each sprint,  you can work out how productive you actually were!</a:t>
          </a:r>
        </a:p>
        <a:p>
          <a:pPr algn="l"/>
          <a:endParaRPr lang="en-GB" sz="1100" baseline="0"/>
        </a:p>
        <a:p>
          <a:pPr algn="l"/>
          <a:r>
            <a:rPr lang="en-GB" sz="1100" baseline="0"/>
            <a:t>Turn this empty chart into a Burndown Chart</a:t>
          </a:r>
        </a:p>
        <a:p>
          <a:pPr algn="l"/>
          <a:r>
            <a:rPr lang="en-GB" sz="1100" baseline="0"/>
            <a:t>You could put any other analysis here!</a:t>
          </a:r>
        </a:p>
      </xdr:txBody>
    </xdr:sp>
    <xdr:clientData/>
  </xdr:twoCellAnchor>
  <xdr:twoCellAnchor>
    <xdr:from>
      <xdr:col>15</xdr:col>
      <xdr:colOff>19050</xdr:colOff>
      <xdr:row>13</xdr:row>
      <xdr:rowOff>90487</xdr:rowOff>
    </xdr:from>
    <xdr:to>
      <xdr:col>22</xdr:col>
      <xdr:colOff>323850</xdr:colOff>
      <xdr:row>27</xdr:row>
      <xdr:rowOff>166687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B8C402E-1DD5-4808-B4CF-EE86C6B6F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123825</xdr:colOff>
      <xdr:row>30</xdr:row>
      <xdr:rowOff>9525</xdr:rowOff>
    </xdr:from>
    <xdr:to>
      <xdr:col>20</xdr:col>
      <xdr:colOff>28575</xdr:colOff>
      <xdr:row>35</xdr:row>
      <xdr:rowOff>19049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46D06D4E-62E2-4136-BA5A-A5EF824FC1D3}"/>
            </a:ext>
          </a:extLst>
        </xdr:cNvPr>
        <xdr:cNvSpPr/>
      </xdr:nvSpPr>
      <xdr:spPr>
        <a:xfrm>
          <a:off x="15840075" y="5724525"/>
          <a:ext cx="2952750" cy="962024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/>
            <a:t>Why</a:t>
          </a:r>
          <a:r>
            <a:rPr lang="en-GB" sz="1100" baseline="0"/>
            <a:t> not also reflect a little? Write overall how it went!</a:t>
          </a:r>
        </a:p>
      </xdr:txBody>
    </xdr:sp>
    <xdr:clientData/>
  </xdr:twoCellAnchor>
  <xdr:twoCellAnchor>
    <xdr:from>
      <xdr:col>0</xdr:col>
      <xdr:colOff>2219325</xdr:colOff>
      <xdr:row>30</xdr:row>
      <xdr:rowOff>0</xdr:rowOff>
    </xdr:from>
    <xdr:to>
      <xdr:col>3</xdr:col>
      <xdr:colOff>9525</xdr:colOff>
      <xdr:row>45</xdr:row>
      <xdr:rowOff>52387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3A84AEF-258A-2016-1D5D-3E969E9F5D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19050</xdr:colOff>
      <xdr:row>30</xdr:row>
      <xdr:rowOff>28574</xdr:rowOff>
    </xdr:from>
    <xdr:to>
      <xdr:col>5</xdr:col>
      <xdr:colOff>9525</xdr:colOff>
      <xdr:row>45</xdr:row>
      <xdr:rowOff>33336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E3A78ED-C1E3-D754-5BD8-257263992E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390525</xdr:colOff>
      <xdr:row>0</xdr:row>
      <xdr:rowOff>171451</xdr:rowOff>
    </xdr:from>
    <xdr:to>
      <xdr:col>13</xdr:col>
      <xdr:colOff>295275</xdr:colOff>
      <xdr:row>5</xdr:row>
      <xdr:rowOff>19051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EF1D369A-2BFE-4CCA-810F-C66C7F5DFF47}"/>
            </a:ext>
          </a:extLst>
        </xdr:cNvPr>
        <xdr:cNvSpPr/>
      </xdr:nvSpPr>
      <xdr:spPr>
        <a:xfrm>
          <a:off x="11268075" y="171451"/>
          <a:ext cx="3524250" cy="8001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/>
            <a:t>Here you can put your actual sprint tasks,</a:t>
          </a:r>
          <a:r>
            <a:rPr lang="en-GB" sz="1100" baseline="0"/>
            <a:t> as you complete tasks, remember to update your full product backlog!</a:t>
          </a:r>
        </a:p>
      </xdr:txBody>
    </xdr:sp>
    <xdr:clientData/>
  </xdr:twoCellAnchor>
  <xdr:twoCellAnchor>
    <xdr:from>
      <xdr:col>15</xdr:col>
      <xdr:colOff>200025</xdr:colOff>
      <xdr:row>4</xdr:row>
      <xdr:rowOff>57151</xdr:rowOff>
    </xdr:from>
    <xdr:to>
      <xdr:col>20</xdr:col>
      <xdr:colOff>104775</xdr:colOff>
      <xdr:row>11</xdr:row>
      <xdr:rowOff>66675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6B7F4E60-E58A-4F44-AAB0-C00C396494FC}"/>
            </a:ext>
          </a:extLst>
        </xdr:cNvPr>
        <xdr:cNvSpPr/>
      </xdr:nvSpPr>
      <xdr:spPr>
        <a:xfrm>
          <a:off x="15916275" y="819151"/>
          <a:ext cx="2952750" cy="1343024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/>
            <a:t>Sprint Analysis:</a:t>
          </a:r>
        </a:p>
        <a:p>
          <a:pPr algn="l"/>
          <a:r>
            <a:rPr lang="en-GB" sz="1100" baseline="0"/>
            <a:t>After you have finished each sprint,  you can work out how productive you actually were!</a:t>
          </a:r>
        </a:p>
        <a:p>
          <a:pPr algn="l"/>
          <a:endParaRPr lang="en-GB" sz="1100" baseline="0"/>
        </a:p>
        <a:p>
          <a:pPr algn="l"/>
          <a:r>
            <a:rPr lang="en-GB" sz="1100" baseline="0"/>
            <a:t>Turn this empty chart into a Burndown Chart</a:t>
          </a:r>
        </a:p>
        <a:p>
          <a:pPr algn="l"/>
          <a:r>
            <a:rPr lang="en-GB" sz="1100" baseline="0"/>
            <a:t>You could put any other analysis here!</a:t>
          </a:r>
        </a:p>
      </xdr:txBody>
    </xdr:sp>
    <xdr:clientData/>
  </xdr:twoCellAnchor>
  <xdr:twoCellAnchor>
    <xdr:from>
      <xdr:col>15</xdr:col>
      <xdr:colOff>19050</xdr:colOff>
      <xdr:row>13</xdr:row>
      <xdr:rowOff>90487</xdr:rowOff>
    </xdr:from>
    <xdr:to>
      <xdr:col>22</xdr:col>
      <xdr:colOff>323850</xdr:colOff>
      <xdr:row>27</xdr:row>
      <xdr:rowOff>166687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BC0815E-5EC2-48FE-9C2D-302B578255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123825</xdr:colOff>
      <xdr:row>30</xdr:row>
      <xdr:rowOff>9525</xdr:rowOff>
    </xdr:from>
    <xdr:to>
      <xdr:col>20</xdr:col>
      <xdr:colOff>28575</xdr:colOff>
      <xdr:row>35</xdr:row>
      <xdr:rowOff>19049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7E16A7AB-F716-475F-B8D2-E0F14E6B1128}"/>
            </a:ext>
          </a:extLst>
        </xdr:cNvPr>
        <xdr:cNvSpPr/>
      </xdr:nvSpPr>
      <xdr:spPr>
        <a:xfrm>
          <a:off x="15840075" y="5724525"/>
          <a:ext cx="2952750" cy="962024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/>
            <a:t>Why</a:t>
          </a:r>
          <a:r>
            <a:rPr lang="en-GB" sz="1100" baseline="0"/>
            <a:t> not also reflect a little? Write overall how it went!</a:t>
          </a:r>
        </a:p>
      </xdr:txBody>
    </xdr:sp>
    <xdr:clientData/>
  </xdr:twoCellAnchor>
  <xdr:twoCellAnchor>
    <xdr:from>
      <xdr:col>0</xdr:col>
      <xdr:colOff>1371600</xdr:colOff>
      <xdr:row>30</xdr:row>
      <xdr:rowOff>28574</xdr:rowOff>
    </xdr:from>
    <xdr:to>
      <xdr:col>3</xdr:col>
      <xdr:colOff>0</xdr:colOff>
      <xdr:row>45</xdr:row>
      <xdr:rowOff>52386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FE1A55C-F8BB-14CB-6FFB-47270D0996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9525</xdr:colOff>
      <xdr:row>30</xdr:row>
      <xdr:rowOff>9525</xdr:rowOff>
    </xdr:from>
    <xdr:to>
      <xdr:col>5</xdr:col>
      <xdr:colOff>9525</xdr:colOff>
      <xdr:row>45</xdr:row>
      <xdr:rowOff>61912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63AB40C-63F7-DF0F-0D0E-D41D17C083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137FC91-BE9A-4933-A203-9434D792CCC4}" name="Table1" displayName="Table1" ref="A1:G34" totalsRowShown="0">
  <autoFilter ref="A1:G34" xr:uid="{A137FC91-BE9A-4933-A203-9434D792CCC4}"/>
  <tableColumns count="7">
    <tableColumn id="1" xr3:uid="{7CA41AAE-F85F-4665-A35A-D6618CAA5BD2}" name="Task"/>
    <tableColumn id="2" xr3:uid="{247C02F7-4F94-4FD7-A623-094F43BCDA7B}" name="Expected Completion Time"/>
    <tableColumn id="3" xr3:uid="{DE1C8563-E24D-492D-A7FD-4994472052FF}" name="Expected Effort Value"/>
    <tableColumn id="4" xr3:uid="{E0495A7D-C452-4386-B757-091668A213FF}" name="Actual Completion Time"/>
    <tableColumn id="5" xr3:uid="{B27DEB51-1AB5-4144-AD0B-848CC6A886E5}" name="Actual Effort Value"/>
    <tableColumn id="6" xr3:uid="{FA6C4965-7CB7-4632-82DD-49DB91CFDD5C}" name="Completed?"/>
    <tableColumn id="9" xr3:uid="{3247CDCD-25C5-4629-962E-280E48F47F27}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6B1F53C-C4C1-4D4A-8C56-FB9D9F995BCA}" name="Table2" displayName="Table2" ref="A2:F12" totalsRowShown="0" headerRowDxfId="36" headerRowBorderDxfId="35" tableBorderDxfId="34">
  <autoFilter ref="A2:F12" xr:uid="{46B1F53C-C4C1-4D4A-8C56-FB9D9F995BCA}"/>
  <tableColumns count="6">
    <tableColumn id="1" xr3:uid="{788B8BB2-E6B6-4F9E-B3C6-9FF7D868F3E3}" name="Task"/>
    <tableColumn id="2" xr3:uid="{672A1D51-9409-40C7-B6A8-EBFFB23F3F9F}" name="Expected Completion Time"/>
    <tableColumn id="3" xr3:uid="{7CF4C60B-1B01-40A4-94B5-9682501D6B59}" name="Expected Effort Value"/>
    <tableColumn id="4" xr3:uid="{70E016C6-CFDA-415D-BDCB-4D6B39E3AA07}" name="Actual Completion Time"/>
    <tableColumn id="5" xr3:uid="{07EBB282-4B49-47BC-951B-5C52FB6F1764}" name="Actual Effort Value"/>
    <tableColumn id="6" xr3:uid="{E9980CBE-4CD3-4404-9041-32D52C69F9BA}" name="Completed?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D72E135-42E8-4466-9432-181689082991}" name="Table24" displayName="Table24" ref="A2:F10" totalsRowShown="0" headerRowDxfId="33" headerRowBorderDxfId="32" tableBorderDxfId="31">
  <autoFilter ref="A2:F10" xr:uid="{6D72E135-42E8-4466-9432-181689082991}"/>
  <tableColumns count="6">
    <tableColumn id="1" xr3:uid="{5E3EFBC7-C72A-4F65-832A-B4549452D69A}" name="Task"/>
    <tableColumn id="2" xr3:uid="{59E5062D-CBCF-4040-AC71-EE6EE1061902}" name="Expected Completion Time"/>
    <tableColumn id="3" xr3:uid="{D11DDF60-21E2-47EA-9C78-C56BE9359315}" name="Expected Effort Value"/>
    <tableColumn id="4" xr3:uid="{2C63D688-0F4A-4AC4-9F39-DF1F91F9E4D4}" name="Actual Completion Time"/>
    <tableColumn id="5" xr3:uid="{3144CFCC-AFEF-43F0-94EA-38ECD9351075}" name="Actual Effort Value"/>
    <tableColumn id="6" xr3:uid="{23BAAD66-C2A8-46B6-A032-297EB06DF1A2}" name="Completed?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DCB39E3-3C43-4EF8-8143-FDD441EDFC97}" name="Table25" displayName="Table25" ref="A2:F10" totalsRowShown="0" headerRowDxfId="30" headerRowBorderDxfId="29" tableBorderDxfId="28">
  <autoFilter ref="A2:F10" xr:uid="{0DCB39E3-3C43-4EF8-8143-FDD441EDFC97}"/>
  <tableColumns count="6">
    <tableColumn id="1" xr3:uid="{37EA0DFA-CC78-401D-B0A2-204765EE7A55}" name="Task"/>
    <tableColumn id="2" xr3:uid="{050BBE4C-53C1-4C0C-BFD1-1799B2814F5A}" name="Expected Completion Time"/>
    <tableColumn id="3" xr3:uid="{D2955FCB-83D1-44DB-BC1D-BF0F80CD45EB}" name="Expected Effort Value"/>
    <tableColumn id="4" xr3:uid="{611864BB-6D08-471D-B2A2-1EE32B27459F}" name="Actual Completion Time"/>
    <tableColumn id="5" xr3:uid="{15704A7E-1CEA-4135-9C92-8F843F51DFA2}" name="Actual Effort Value"/>
    <tableColumn id="6" xr3:uid="{5AC815A0-4653-4D91-88F1-06B0DF1AFC8E}" name="Completed?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2AF1EF8-2370-4D57-8E84-53FBD02863D5}" name="Table26" displayName="Table26" ref="A2:F9" totalsRowShown="0" headerRowDxfId="27" headerRowBorderDxfId="26" tableBorderDxfId="25">
  <autoFilter ref="A2:F9" xr:uid="{92AF1EF8-2370-4D57-8E84-53FBD02863D5}"/>
  <tableColumns count="6">
    <tableColumn id="1" xr3:uid="{67E1A643-CBC3-4C25-94DE-5B348DEEF5DD}" name="Task"/>
    <tableColumn id="2" xr3:uid="{7396A6BB-1D53-4C5A-93E9-14B0D29634C8}" name="Expected Completion Time"/>
    <tableColumn id="3" xr3:uid="{4434020A-20B2-4132-BE65-2FE05E4E013E}" name="Expected Effort Value"/>
    <tableColumn id="4" xr3:uid="{EECA7F9C-2C86-47AC-8CCE-9C1C00380E78}" name="Actual Completion Time"/>
    <tableColumn id="5" xr3:uid="{AC322715-E72B-4211-98D0-C9968942B295}" name="Actual Effort Value"/>
    <tableColumn id="6" xr3:uid="{E15BAC16-B447-4180-A020-04D4D9E70D22}" name="Completed?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6E5FF-638B-4DA6-B21D-E07D656B66DA}">
  <dimension ref="A1:L73"/>
  <sheetViews>
    <sheetView tabSelected="1" workbookViewId="0">
      <selection activeCell="B42" sqref="B42"/>
    </sheetView>
  </sheetViews>
  <sheetFormatPr defaultRowHeight="15" x14ac:dyDescent="0.25"/>
  <cols>
    <col min="1" max="1" width="44.42578125" customWidth="1"/>
    <col min="2" max="2" width="27.5703125" customWidth="1"/>
    <col min="3" max="3" width="22.5703125" customWidth="1"/>
    <col min="4" max="4" width="24.7109375" customWidth="1"/>
    <col min="5" max="5" width="19.7109375" customWidth="1"/>
    <col min="6" max="6" width="17" customWidth="1"/>
    <col min="7" max="7" width="126.42578125" customWidth="1"/>
    <col min="10" max="10" width="38.5703125" bestFit="1" customWidth="1"/>
    <col min="11" max="11" width="17.710937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12" x14ac:dyDescent="0.25">
      <c r="A2" t="s">
        <v>7</v>
      </c>
      <c r="B2">
        <v>15</v>
      </c>
      <c r="C2">
        <v>1</v>
      </c>
      <c r="D2">
        <v>5</v>
      </c>
      <c r="E2">
        <v>1</v>
      </c>
      <c r="F2" t="s">
        <v>21</v>
      </c>
    </row>
    <row r="3" spans="1:12" x14ac:dyDescent="0.25">
      <c r="A3" t="s">
        <v>8</v>
      </c>
      <c r="B3">
        <v>15</v>
      </c>
      <c r="C3">
        <v>1</v>
      </c>
      <c r="D3">
        <v>5</v>
      </c>
      <c r="E3">
        <v>1</v>
      </c>
      <c r="F3" t="s">
        <v>21</v>
      </c>
    </row>
    <row r="4" spans="1:12" x14ac:dyDescent="0.25">
      <c r="A4" t="s">
        <v>22</v>
      </c>
      <c r="B4">
        <v>15</v>
      </c>
      <c r="C4">
        <v>2</v>
      </c>
      <c r="D4">
        <v>60</v>
      </c>
      <c r="E4">
        <v>1</v>
      </c>
      <c r="F4" t="s">
        <v>21</v>
      </c>
      <c r="J4" t="s">
        <v>9</v>
      </c>
      <c r="K4">
        <f>SUM(Table1[Expected Completion Time])</f>
        <v>1410</v>
      </c>
      <c r="L4" t="s">
        <v>58</v>
      </c>
    </row>
    <row r="5" spans="1:12" x14ac:dyDescent="0.25">
      <c r="A5" t="s">
        <v>23</v>
      </c>
      <c r="B5">
        <v>15</v>
      </c>
      <c r="C5">
        <v>1</v>
      </c>
      <c r="D5">
        <v>15</v>
      </c>
      <c r="E5">
        <v>1</v>
      </c>
      <c r="F5" t="s">
        <v>21</v>
      </c>
      <c r="J5" t="s">
        <v>10</v>
      </c>
      <c r="K5">
        <f>SUM(Table1[Actual Completion Time])</f>
        <v>1664</v>
      </c>
      <c r="L5" t="s">
        <v>58</v>
      </c>
    </row>
    <row r="6" spans="1:12" x14ac:dyDescent="0.25">
      <c r="A6" t="s">
        <v>30</v>
      </c>
      <c r="B6">
        <v>30</v>
      </c>
      <c r="C6">
        <v>3</v>
      </c>
      <c r="D6">
        <v>145</v>
      </c>
      <c r="E6">
        <v>4</v>
      </c>
      <c r="F6" t="s">
        <v>21</v>
      </c>
    </row>
    <row r="7" spans="1:12" x14ac:dyDescent="0.25">
      <c r="A7" t="s">
        <v>24</v>
      </c>
      <c r="B7">
        <v>30</v>
      </c>
      <c r="C7">
        <v>3</v>
      </c>
      <c r="D7">
        <v>30</v>
      </c>
      <c r="E7">
        <v>4</v>
      </c>
      <c r="F7" t="s">
        <v>21</v>
      </c>
      <c r="J7" t="s">
        <v>11</v>
      </c>
      <c r="K7">
        <f>SUM(Table1[Expected Effort Value])</f>
        <v>80</v>
      </c>
    </row>
    <row r="8" spans="1:12" x14ac:dyDescent="0.25">
      <c r="A8" t="s">
        <v>25</v>
      </c>
      <c r="B8">
        <v>30</v>
      </c>
      <c r="C8">
        <v>4</v>
      </c>
      <c r="D8">
        <v>60</v>
      </c>
      <c r="E8">
        <v>4</v>
      </c>
      <c r="F8" t="s">
        <v>21</v>
      </c>
      <c r="J8" t="s">
        <v>12</v>
      </c>
      <c r="K8">
        <f>SUM(Table1[Actual Effort Value])</f>
        <v>91</v>
      </c>
    </row>
    <row r="9" spans="1:12" x14ac:dyDescent="0.25">
      <c r="A9" t="s">
        <v>26</v>
      </c>
      <c r="B9">
        <v>60</v>
      </c>
      <c r="C9">
        <v>3</v>
      </c>
      <c r="E9">
        <v>3</v>
      </c>
      <c r="F9" t="s">
        <v>27</v>
      </c>
    </row>
    <row r="10" spans="1:12" x14ac:dyDescent="0.25">
      <c r="A10" t="s">
        <v>28</v>
      </c>
      <c r="B10">
        <v>30</v>
      </c>
      <c r="C10">
        <v>4</v>
      </c>
      <c r="F10" t="s">
        <v>29</v>
      </c>
      <c r="G10" t="s">
        <v>57</v>
      </c>
    </row>
    <row r="11" spans="1:12" x14ac:dyDescent="0.25">
      <c r="A11" t="s">
        <v>31</v>
      </c>
      <c r="B11">
        <v>30</v>
      </c>
      <c r="C11">
        <v>3</v>
      </c>
      <c r="D11">
        <v>60</v>
      </c>
      <c r="E11">
        <v>5</v>
      </c>
      <c r="F11" t="s">
        <v>21</v>
      </c>
    </row>
    <row r="12" spans="1:12" x14ac:dyDescent="0.25">
      <c r="A12" t="s">
        <v>33</v>
      </c>
      <c r="B12">
        <v>15</v>
      </c>
      <c r="C12">
        <v>1</v>
      </c>
      <c r="D12">
        <v>9</v>
      </c>
      <c r="E12">
        <v>1</v>
      </c>
      <c r="F12" t="s">
        <v>21</v>
      </c>
    </row>
    <row r="13" spans="1:12" x14ac:dyDescent="0.25">
      <c r="A13" t="s">
        <v>32</v>
      </c>
      <c r="B13">
        <v>60</v>
      </c>
      <c r="C13">
        <v>5</v>
      </c>
      <c r="E13">
        <v>5</v>
      </c>
      <c r="F13" t="s">
        <v>42</v>
      </c>
      <c r="G13" t="s">
        <v>53</v>
      </c>
    </row>
    <row r="14" spans="1:12" x14ac:dyDescent="0.25">
      <c r="A14" t="s">
        <v>34</v>
      </c>
      <c r="B14">
        <v>15</v>
      </c>
      <c r="C14">
        <v>1</v>
      </c>
      <c r="D14">
        <v>10</v>
      </c>
      <c r="E14">
        <v>1</v>
      </c>
      <c r="F14" t="s">
        <v>21</v>
      </c>
    </row>
    <row r="15" spans="1:12" x14ac:dyDescent="0.25">
      <c r="A15" t="s">
        <v>35</v>
      </c>
      <c r="B15">
        <v>15</v>
      </c>
      <c r="C15">
        <v>2</v>
      </c>
      <c r="D15">
        <v>30</v>
      </c>
      <c r="E15">
        <v>3</v>
      </c>
      <c r="F15" t="s">
        <v>21</v>
      </c>
    </row>
    <row r="16" spans="1:12" x14ac:dyDescent="0.25">
      <c r="A16" t="s">
        <v>36</v>
      </c>
      <c r="B16">
        <v>30</v>
      </c>
      <c r="C16">
        <v>3</v>
      </c>
      <c r="D16">
        <v>60</v>
      </c>
      <c r="E16">
        <v>4</v>
      </c>
      <c r="F16" t="s">
        <v>21</v>
      </c>
    </row>
    <row r="17" spans="1:7" x14ac:dyDescent="0.25">
      <c r="A17" t="s">
        <v>37</v>
      </c>
      <c r="B17">
        <v>60</v>
      </c>
      <c r="C17">
        <v>3</v>
      </c>
      <c r="D17">
        <v>60</v>
      </c>
      <c r="E17">
        <v>4</v>
      </c>
      <c r="F17" t="s">
        <v>21</v>
      </c>
    </row>
    <row r="18" spans="1:7" x14ac:dyDescent="0.25">
      <c r="A18" t="s">
        <v>38</v>
      </c>
      <c r="B18">
        <v>15</v>
      </c>
      <c r="C18">
        <v>2</v>
      </c>
      <c r="D18">
        <v>30</v>
      </c>
      <c r="E18">
        <v>2</v>
      </c>
      <c r="F18" t="s">
        <v>21</v>
      </c>
    </row>
    <row r="19" spans="1:7" x14ac:dyDescent="0.25">
      <c r="A19" t="s">
        <v>39</v>
      </c>
      <c r="B19">
        <v>15</v>
      </c>
      <c r="C19">
        <v>1</v>
      </c>
      <c r="D19">
        <v>15</v>
      </c>
      <c r="E19">
        <v>1</v>
      </c>
      <c r="F19" t="s">
        <v>21</v>
      </c>
    </row>
    <row r="20" spans="1:7" x14ac:dyDescent="0.25">
      <c r="A20" t="s">
        <v>32</v>
      </c>
      <c r="B20">
        <v>60</v>
      </c>
      <c r="C20">
        <v>5</v>
      </c>
      <c r="D20">
        <v>120</v>
      </c>
      <c r="E20">
        <v>5</v>
      </c>
      <c r="F20" t="s">
        <v>21</v>
      </c>
    </row>
    <row r="21" spans="1:7" x14ac:dyDescent="0.25">
      <c r="A21" t="s">
        <v>40</v>
      </c>
      <c r="B21">
        <v>120</v>
      </c>
      <c r="C21">
        <v>3</v>
      </c>
      <c r="D21">
        <v>120</v>
      </c>
      <c r="E21">
        <v>3</v>
      </c>
      <c r="F21" t="s">
        <v>21</v>
      </c>
    </row>
    <row r="22" spans="1:7" x14ac:dyDescent="0.25">
      <c r="A22" t="s">
        <v>41</v>
      </c>
      <c r="B22">
        <v>120</v>
      </c>
      <c r="C22">
        <v>4</v>
      </c>
      <c r="E22">
        <v>5</v>
      </c>
      <c r="F22" t="s">
        <v>42</v>
      </c>
      <c r="G22" t="s">
        <v>54</v>
      </c>
    </row>
    <row r="23" spans="1:7" x14ac:dyDescent="0.25">
      <c r="A23" t="s">
        <v>43</v>
      </c>
      <c r="B23">
        <v>15</v>
      </c>
      <c r="C23">
        <v>2</v>
      </c>
      <c r="D23">
        <v>30</v>
      </c>
      <c r="E23">
        <v>2</v>
      </c>
      <c r="F23" t="s">
        <v>21</v>
      </c>
    </row>
    <row r="24" spans="1:7" x14ac:dyDescent="0.25">
      <c r="A24" t="s">
        <v>44</v>
      </c>
      <c r="B24">
        <v>120</v>
      </c>
      <c r="C24">
        <v>3</v>
      </c>
      <c r="D24">
        <v>90</v>
      </c>
      <c r="E24">
        <v>4</v>
      </c>
      <c r="F24" t="s">
        <v>21</v>
      </c>
    </row>
    <row r="25" spans="1:7" x14ac:dyDescent="0.25">
      <c r="A25" t="s">
        <v>45</v>
      </c>
      <c r="B25">
        <v>60</v>
      </c>
      <c r="C25">
        <v>3</v>
      </c>
      <c r="D25">
        <v>60</v>
      </c>
      <c r="E25">
        <v>4</v>
      </c>
      <c r="F25" t="s">
        <v>21</v>
      </c>
    </row>
    <row r="26" spans="1:7" x14ac:dyDescent="0.25">
      <c r="A26" t="s">
        <v>46</v>
      </c>
      <c r="B26">
        <v>30</v>
      </c>
      <c r="C26">
        <v>2</v>
      </c>
      <c r="D26">
        <v>30</v>
      </c>
      <c r="E26">
        <v>3</v>
      </c>
      <c r="F26" t="s">
        <v>21</v>
      </c>
    </row>
    <row r="27" spans="1:7" x14ac:dyDescent="0.25">
      <c r="A27" t="s">
        <v>47</v>
      </c>
      <c r="B27">
        <v>15</v>
      </c>
      <c r="C27">
        <v>2</v>
      </c>
      <c r="D27">
        <v>30</v>
      </c>
      <c r="E27">
        <v>2</v>
      </c>
      <c r="F27" t="s">
        <v>21</v>
      </c>
    </row>
    <row r="28" spans="1:7" x14ac:dyDescent="0.25">
      <c r="A28" t="s">
        <v>41</v>
      </c>
      <c r="B28">
        <v>60</v>
      </c>
      <c r="C28">
        <v>4</v>
      </c>
      <c r="D28">
        <v>90</v>
      </c>
      <c r="E28">
        <v>5</v>
      </c>
      <c r="F28" t="s">
        <v>21</v>
      </c>
    </row>
    <row r="29" spans="1:7" x14ac:dyDescent="0.25">
      <c r="A29" t="s">
        <v>48</v>
      </c>
      <c r="B29">
        <v>60</v>
      </c>
      <c r="C29">
        <v>2</v>
      </c>
      <c r="D29">
        <v>90</v>
      </c>
      <c r="E29">
        <v>3</v>
      </c>
      <c r="F29" t="s">
        <v>21</v>
      </c>
    </row>
    <row r="30" spans="1:7" x14ac:dyDescent="0.25">
      <c r="A30" t="s">
        <v>59</v>
      </c>
      <c r="B30">
        <v>15</v>
      </c>
      <c r="C30">
        <v>2</v>
      </c>
      <c r="D30">
        <v>30</v>
      </c>
      <c r="E30">
        <v>2</v>
      </c>
      <c r="F30" t="s">
        <v>21</v>
      </c>
    </row>
    <row r="31" spans="1:7" x14ac:dyDescent="0.25">
      <c r="A31" t="s">
        <v>49</v>
      </c>
      <c r="B31">
        <v>120</v>
      </c>
      <c r="C31">
        <v>2</v>
      </c>
      <c r="D31">
        <v>180</v>
      </c>
      <c r="E31">
        <v>3</v>
      </c>
      <c r="F31" t="s">
        <v>21</v>
      </c>
    </row>
    <row r="32" spans="1:7" x14ac:dyDescent="0.25">
      <c r="A32" t="s">
        <v>50</v>
      </c>
      <c r="F32" t="s">
        <v>29</v>
      </c>
      <c r="G32" t="s">
        <v>55</v>
      </c>
    </row>
    <row r="33" spans="1:7" x14ac:dyDescent="0.25">
      <c r="A33" t="s">
        <v>51</v>
      </c>
      <c r="F33" t="s">
        <v>29</v>
      </c>
      <c r="G33" t="s">
        <v>55</v>
      </c>
    </row>
    <row r="34" spans="1:7" x14ac:dyDescent="0.25">
      <c r="A34" t="s">
        <v>52</v>
      </c>
      <c r="B34">
        <v>120</v>
      </c>
      <c r="C34">
        <v>3</v>
      </c>
      <c r="D34">
        <v>200</v>
      </c>
      <c r="E34">
        <v>5</v>
      </c>
      <c r="F34" t="s">
        <v>21</v>
      </c>
      <c r="G34" t="s">
        <v>56</v>
      </c>
    </row>
    <row r="39" spans="1:7" x14ac:dyDescent="0.25">
      <c r="A39" s="10" t="s">
        <v>61</v>
      </c>
      <c r="B39" s="9" t="s">
        <v>60</v>
      </c>
      <c r="C39" s="9" t="s">
        <v>62</v>
      </c>
      <c r="D39" s="9" t="s">
        <v>63</v>
      </c>
      <c r="E39" s="9" t="s">
        <v>64</v>
      </c>
    </row>
    <row r="40" spans="1:7" x14ac:dyDescent="0.25">
      <c r="A40" s="7" t="s">
        <v>65</v>
      </c>
      <c r="B40" s="8">
        <f>K4</f>
        <v>1410</v>
      </c>
      <c r="C40" s="8">
        <f>K5</f>
        <v>1664</v>
      </c>
      <c r="D40" s="8">
        <f>K7</f>
        <v>80</v>
      </c>
      <c r="E40" s="8">
        <f>K8</f>
        <v>91</v>
      </c>
    </row>
    <row r="41" spans="1:7" x14ac:dyDescent="0.25">
      <c r="A41" s="3" t="s">
        <v>7</v>
      </c>
      <c r="B41" s="4">
        <f t="shared" ref="B41:B73" si="0">B40-B2</f>
        <v>1395</v>
      </c>
      <c r="C41" s="4">
        <f t="shared" ref="C41:C73" si="1">C40-D2</f>
        <v>1659</v>
      </c>
      <c r="D41" s="4">
        <f t="shared" ref="D41:D73" si="2">D40-C2</f>
        <v>79</v>
      </c>
      <c r="E41" s="4">
        <f t="shared" ref="E41:E73" si="3">E40-E2</f>
        <v>90</v>
      </c>
    </row>
    <row r="42" spans="1:7" x14ac:dyDescent="0.25">
      <c r="A42" s="5" t="s">
        <v>8</v>
      </c>
      <c r="B42" s="6">
        <f t="shared" si="0"/>
        <v>1380</v>
      </c>
      <c r="C42" s="6">
        <f t="shared" si="1"/>
        <v>1654</v>
      </c>
      <c r="D42" s="6">
        <f t="shared" si="2"/>
        <v>78</v>
      </c>
      <c r="E42" s="6">
        <f t="shared" si="3"/>
        <v>89</v>
      </c>
    </row>
    <row r="43" spans="1:7" x14ac:dyDescent="0.25">
      <c r="A43" s="3" t="s">
        <v>22</v>
      </c>
      <c r="B43" s="4">
        <f t="shared" si="0"/>
        <v>1365</v>
      </c>
      <c r="C43" s="4">
        <f t="shared" si="1"/>
        <v>1594</v>
      </c>
      <c r="D43" s="4">
        <f t="shared" si="2"/>
        <v>76</v>
      </c>
      <c r="E43" s="4">
        <f t="shared" si="3"/>
        <v>88</v>
      </c>
    </row>
    <row r="44" spans="1:7" x14ac:dyDescent="0.25">
      <c r="A44" s="5" t="s">
        <v>23</v>
      </c>
      <c r="B44" s="6">
        <f t="shared" si="0"/>
        <v>1350</v>
      </c>
      <c r="C44" s="6">
        <f t="shared" si="1"/>
        <v>1579</v>
      </c>
      <c r="D44" s="6">
        <f t="shared" si="2"/>
        <v>75</v>
      </c>
      <c r="E44" s="6">
        <f t="shared" si="3"/>
        <v>87</v>
      </c>
    </row>
    <row r="45" spans="1:7" x14ac:dyDescent="0.25">
      <c r="A45" s="3" t="s">
        <v>30</v>
      </c>
      <c r="B45" s="4">
        <f t="shared" si="0"/>
        <v>1320</v>
      </c>
      <c r="C45" s="4">
        <f t="shared" si="1"/>
        <v>1434</v>
      </c>
      <c r="D45" s="4">
        <f t="shared" si="2"/>
        <v>72</v>
      </c>
      <c r="E45" s="4">
        <f t="shared" si="3"/>
        <v>83</v>
      </c>
    </row>
    <row r="46" spans="1:7" x14ac:dyDescent="0.25">
      <c r="A46" s="5" t="s">
        <v>24</v>
      </c>
      <c r="B46" s="6">
        <f t="shared" si="0"/>
        <v>1290</v>
      </c>
      <c r="C46" s="6">
        <f t="shared" si="1"/>
        <v>1404</v>
      </c>
      <c r="D46" s="6">
        <f t="shared" si="2"/>
        <v>69</v>
      </c>
      <c r="E46" s="6">
        <f t="shared" si="3"/>
        <v>79</v>
      </c>
    </row>
    <row r="47" spans="1:7" x14ac:dyDescent="0.25">
      <c r="A47" s="3" t="s">
        <v>25</v>
      </c>
      <c r="B47" s="4">
        <f t="shared" si="0"/>
        <v>1260</v>
      </c>
      <c r="C47" s="4">
        <f t="shared" si="1"/>
        <v>1344</v>
      </c>
      <c r="D47" s="4">
        <f t="shared" si="2"/>
        <v>65</v>
      </c>
      <c r="E47" s="4">
        <f t="shared" si="3"/>
        <v>75</v>
      </c>
    </row>
    <row r="48" spans="1:7" x14ac:dyDescent="0.25">
      <c r="A48" s="5" t="s">
        <v>26</v>
      </c>
      <c r="B48" s="6">
        <f t="shared" si="0"/>
        <v>1200</v>
      </c>
      <c r="C48" s="6">
        <f t="shared" si="1"/>
        <v>1344</v>
      </c>
      <c r="D48" s="6">
        <f t="shared" si="2"/>
        <v>62</v>
      </c>
      <c r="E48" s="6">
        <f t="shared" si="3"/>
        <v>72</v>
      </c>
    </row>
    <row r="49" spans="1:5" x14ac:dyDescent="0.25">
      <c r="A49" s="3" t="s">
        <v>28</v>
      </c>
      <c r="B49" s="4">
        <f t="shared" si="0"/>
        <v>1170</v>
      </c>
      <c r="C49" s="4">
        <f t="shared" si="1"/>
        <v>1344</v>
      </c>
      <c r="D49" s="4">
        <f t="shared" si="2"/>
        <v>58</v>
      </c>
      <c r="E49" s="4">
        <f t="shared" si="3"/>
        <v>72</v>
      </c>
    </row>
    <row r="50" spans="1:5" x14ac:dyDescent="0.25">
      <c r="A50" s="5" t="s">
        <v>31</v>
      </c>
      <c r="B50" s="6">
        <f t="shared" si="0"/>
        <v>1140</v>
      </c>
      <c r="C50" s="6">
        <f t="shared" si="1"/>
        <v>1284</v>
      </c>
      <c r="D50" s="6">
        <f t="shared" si="2"/>
        <v>55</v>
      </c>
      <c r="E50" s="6">
        <f t="shared" si="3"/>
        <v>67</v>
      </c>
    </row>
    <row r="51" spans="1:5" x14ac:dyDescent="0.25">
      <c r="A51" s="3" t="s">
        <v>33</v>
      </c>
      <c r="B51" s="4">
        <f t="shared" si="0"/>
        <v>1125</v>
      </c>
      <c r="C51" s="4">
        <f t="shared" si="1"/>
        <v>1275</v>
      </c>
      <c r="D51" s="4">
        <f t="shared" si="2"/>
        <v>54</v>
      </c>
      <c r="E51" s="4">
        <f t="shared" si="3"/>
        <v>66</v>
      </c>
    </row>
    <row r="52" spans="1:5" x14ac:dyDescent="0.25">
      <c r="A52" s="5" t="s">
        <v>32</v>
      </c>
      <c r="B52" s="6">
        <f t="shared" si="0"/>
        <v>1065</v>
      </c>
      <c r="C52" s="6">
        <f t="shared" si="1"/>
        <v>1275</v>
      </c>
      <c r="D52" s="6">
        <f t="shared" si="2"/>
        <v>49</v>
      </c>
      <c r="E52" s="6">
        <f t="shared" si="3"/>
        <v>61</v>
      </c>
    </row>
    <row r="53" spans="1:5" x14ac:dyDescent="0.25">
      <c r="A53" s="3" t="s">
        <v>34</v>
      </c>
      <c r="B53" s="4">
        <f t="shared" si="0"/>
        <v>1050</v>
      </c>
      <c r="C53" s="4">
        <f t="shared" si="1"/>
        <v>1265</v>
      </c>
      <c r="D53" s="4">
        <f t="shared" si="2"/>
        <v>48</v>
      </c>
      <c r="E53" s="4">
        <f t="shared" si="3"/>
        <v>60</v>
      </c>
    </row>
    <row r="54" spans="1:5" x14ac:dyDescent="0.25">
      <c r="A54" s="5" t="s">
        <v>35</v>
      </c>
      <c r="B54" s="6">
        <f t="shared" si="0"/>
        <v>1035</v>
      </c>
      <c r="C54" s="6">
        <f t="shared" si="1"/>
        <v>1235</v>
      </c>
      <c r="D54" s="6">
        <f t="shared" si="2"/>
        <v>46</v>
      </c>
      <c r="E54" s="6">
        <f t="shared" si="3"/>
        <v>57</v>
      </c>
    </row>
    <row r="55" spans="1:5" x14ac:dyDescent="0.25">
      <c r="A55" s="3" t="s">
        <v>36</v>
      </c>
      <c r="B55" s="4">
        <f t="shared" si="0"/>
        <v>1005</v>
      </c>
      <c r="C55" s="4">
        <f t="shared" si="1"/>
        <v>1175</v>
      </c>
      <c r="D55" s="4">
        <f t="shared" si="2"/>
        <v>43</v>
      </c>
      <c r="E55" s="4">
        <f t="shared" si="3"/>
        <v>53</v>
      </c>
    </row>
    <row r="56" spans="1:5" x14ac:dyDescent="0.25">
      <c r="A56" s="5" t="s">
        <v>37</v>
      </c>
      <c r="B56" s="6">
        <f t="shared" si="0"/>
        <v>945</v>
      </c>
      <c r="C56" s="6">
        <f t="shared" si="1"/>
        <v>1115</v>
      </c>
      <c r="D56" s="6">
        <f t="shared" si="2"/>
        <v>40</v>
      </c>
      <c r="E56" s="6">
        <f t="shared" si="3"/>
        <v>49</v>
      </c>
    </row>
    <row r="57" spans="1:5" x14ac:dyDescent="0.25">
      <c r="A57" s="3" t="s">
        <v>38</v>
      </c>
      <c r="B57" s="4">
        <f t="shared" si="0"/>
        <v>930</v>
      </c>
      <c r="C57" s="4">
        <f t="shared" si="1"/>
        <v>1085</v>
      </c>
      <c r="D57" s="4">
        <f t="shared" si="2"/>
        <v>38</v>
      </c>
      <c r="E57" s="4">
        <f t="shared" si="3"/>
        <v>47</v>
      </c>
    </row>
    <row r="58" spans="1:5" x14ac:dyDescent="0.25">
      <c r="A58" s="5" t="s">
        <v>39</v>
      </c>
      <c r="B58" s="6">
        <f t="shared" si="0"/>
        <v>915</v>
      </c>
      <c r="C58" s="6">
        <f t="shared" si="1"/>
        <v>1070</v>
      </c>
      <c r="D58" s="6">
        <f t="shared" si="2"/>
        <v>37</v>
      </c>
      <c r="E58" s="6">
        <f t="shared" si="3"/>
        <v>46</v>
      </c>
    </row>
    <row r="59" spans="1:5" x14ac:dyDescent="0.25">
      <c r="A59" s="3" t="s">
        <v>32</v>
      </c>
      <c r="B59" s="4">
        <f t="shared" si="0"/>
        <v>855</v>
      </c>
      <c r="C59" s="4">
        <f t="shared" si="1"/>
        <v>950</v>
      </c>
      <c r="D59" s="4">
        <f t="shared" si="2"/>
        <v>32</v>
      </c>
      <c r="E59" s="4">
        <f t="shared" si="3"/>
        <v>41</v>
      </c>
    </row>
    <row r="60" spans="1:5" x14ac:dyDescent="0.25">
      <c r="A60" s="5" t="s">
        <v>40</v>
      </c>
      <c r="B60" s="6">
        <f t="shared" si="0"/>
        <v>735</v>
      </c>
      <c r="C60" s="6">
        <f t="shared" si="1"/>
        <v>830</v>
      </c>
      <c r="D60" s="6">
        <f t="shared" si="2"/>
        <v>29</v>
      </c>
      <c r="E60" s="6">
        <f t="shared" si="3"/>
        <v>38</v>
      </c>
    </row>
    <row r="61" spans="1:5" x14ac:dyDescent="0.25">
      <c r="A61" s="3" t="s">
        <v>41</v>
      </c>
      <c r="B61" s="4">
        <f t="shared" si="0"/>
        <v>615</v>
      </c>
      <c r="C61" s="4">
        <f t="shared" si="1"/>
        <v>830</v>
      </c>
      <c r="D61" s="4">
        <f t="shared" si="2"/>
        <v>25</v>
      </c>
      <c r="E61" s="4">
        <f t="shared" si="3"/>
        <v>33</v>
      </c>
    </row>
    <row r="62" spans="1:5" x14ac:dyDescent="0.25">
      <c r="A62" s="5" t="s">
        <v>43</v>
      </c>
      <c r="B62" s="6">
        <f t="shared" si="0"/>
        <v>600</v>
      </c>
      <c r="C62" s="6">
        <f t="shared" si="1"/>
        <v>800</v>
      </c>
      <c r="D62" s="6">
        <f t="shared" si="2"/>
        <v>23</v>
      </c>
      <c r="E62" s="6">
        <f t="shared" si="3"/>
        <v>31</v>
      </c>
    </row>
    <row r="63" spans="1:5" x14ac:dyDescent="0.25">
      <c r="A63" s="3" t="s">
        <v>44</v>
      </c>
      <c r="B63" s="4">
        <f t="shared" si="0"/>
        <v>480</v>
      </c>
      <c r="C63" s="4">
        <f t="shared" si="1"/>
        <v>710</v>
      </c>
      <c r="D63" s="4">
        <f t="shared" si="2"/>
        <v>20</v>
      </c>
      <c r="E63" s="4">
        <f t="shared" si="3"/>
        <v>27</v>
      </c>
    </row>
    <row r="64" spans="1:5" x14ac:dyDescent="0.25">
      <c r="A64" s="5" t="s">
        <v>45</v>
      </c>
      <c r="B64" s="6">
        <f t="shared" si="0"/>
        <v>420</v>
      </c>
      <c r="C64" s="6">
        <f t="shared" si="1"/>
        <v>650</v>
      </c>
      <c r="D64" s="6">
        <f t="shared" si="2"/>
        <v>17</v>
      </c>
      <c r="E64" s="6">
        <f t="shared" si="3"/>
        <v>23</v>
      </c>
    </row>
    <row r="65" spans="1:5" x14ac:dyDescent="0.25">
      <c r="A65" s="3" t="s">
        <v>46</v>
      </c>
      <c r="B65" s="4">
        <f t="shared" si="0"/>
        <v>390</v>
      </c>
      <c r="C65" s="4">
        <f t="shared" si="1"/>
        <v>620</v>
      </c>
      <c r="D65" s="4">
        <f t="shared" si="2"/>
        <v>15</v>
      </c>
      <c r="E65" s="4">
        <f t="shared" si="3"/>
        <v>20</v>
      </c>
    </row>
    <row r="66" spans="1:5" x14ac:dyDescent="0.25">
      <c r="A66" s="5" t="s">
        <v>47</v>
      </c>
      <c r="B66" s="6">
        <f t="shared" si="0"/>
        <v>375</v>
      </c>
      <c r="C66" s="6">
        <f t="shared" si="1"/>
        <v>590</v>
      </c>
      <c r="D66" s="6">
        <f t="shared" si="2"/>
        <v>13</v>
      </c>
      <c r="E66" s="6">
        <f t="shared" si="3"/>
        <v>18</v>
      </c>
    </row>
    <row r="67" spans="1:5" x14ac:dyDescent="0.25">
      <c r="A67" s="3" t="s">
        <v>41</v>
      </c>
      <c r="B67" s="4">
        <f t="shared" si="0"/>
        <v>315</v>
      </c>
      <c r="C67" s="4">
        <f t="shared" si="1"/>
        <v>500</v>
      </c>
      <c r="D67" s="4">
        <f t="shared" si="2"/>
        <v>9</v>
      </c>
      <c r="E67" s="4">
        <f t="shared" si="3"/>
        <v>13</v>
      </c>
    </row>
    <row r="68" spans="1:5" x14ac:dyDescent="0.25">
      <c r="A68" s="5" t="s">
        <v>48</v>
      </c>
      <c r="B68" s="6">
        <f t="shared" si="0"/>
        <v>255</v>
      </c>
      <c r="C68" s="6">
        <f t="shared" si="1"/>
        <v>410</v>
      </c>
      <c r="D68" s="6">
        <f t="shared" si="2"/>
        <v>7</v>
      </c>
      <c r="E68" s="6">
        <f t="shared" si="3"/>
        <v>10</v>
      </c>
    </row>
    <row r="69" spans="1:5" x14ac:dyDescent="0.25">
      <c r="A69" s="3" t="s">
        <v>59</v>
      </c>
      <c r="B69" s="4">
        <f t="shared" si="0"/>
        <v>240</v>
      </c>
      <c r="C69" s="4">
        <f t="shared" si="1"/>
        <v>380</v>
      </c>
      <c r="D69" s="4">
        <f t="shared" si="2"/>
        <v>5</v>
      </c>
      <c r="E69" s="4">
        <f t="shared" si="3"/>
        <v>8</v>
      </c>
    </row>
    <row r="70" spans="1:5" x14ac:dyDescent="0.25">
      <c r="A70" s="5" t="s">
        <v>49</v>
      </c>
      <c r="B70" s="6">
        <f t="shared" si="0"/>
        <v>120</v>
      </c>
      <c r="C70" s="6">
        <f t="shared" si="1"/>
        <v>200</v>
      </c>
      <c r="D70" s="6">
        <f t="shared" si="2"/>
        <v>3</v>
      </c>
      <c r="E70" s="6">
        <f t="shared" si="3"/>
        <v>5</v>
      </c>
    </row>
    <row r="71" spans="1:5" x14ac:dyDescent="0.25">
      <c r="A71" s="3" t="s">
        <v>50</v>
      </c>
      <c r="B71" s="4">
        <f t="shared" si="0"/>
        <v>120</v>
      </c>
      <c r="C71" s="4">
        <f t="shared" si="1"/>
        <v>200</v>
      </c>
      <c r="D71" s="4">
        <f t="shared" si="2"/>
        <v>3</v>
      </c>
      <c r="E71" s="4">
        <f t="shared" si="3"/>
        <v>5</v>
      </c>
    </row>
    <row r="72" spans="1:5" x14ac:dyDescent="0.25">
      <c r="A72" s="5" t="s">
        <v>51</v>
      </c>
      <c r="B72" s="6">
        <f t="shared" si="0"/>
        <v>120</v>
      </c>
      <c r="C72" s="6">
        <f t="shared" si="1"/>
        <v>200</v>
      </c>
      <c r="D72" s="6">
        <f t="shared" si="2"/>
        <v>3</v>
      </c>
      <c r="E72" s="6">
        <f t="shared" si="3"/>
        <v>5</v>
      </c>
    </row>
    <row r="73" spans="1:5" x14ac:dyDescent="0.25">
      <c r="A73" s="3" t="s">
        <v>52</v>
      </c>
      <c r="B73" s="4">
        <f t="shared" si="0"/>
        <v>0</v>
      </c>
      <c r="C73" s="4">
        <f t="shared" si="1"/>
        <v>0</v>
      </c>
      <c r="D73" s="4">
        <f t="shared" si="2"/>
        <v>0</v>
      </c>
      <c r="E73" s="4">
        <f t="shared" si="3"/>
        <v>0</v>
      </c>
    </row>
  </sheetData>
  <conditionalFormatting sqref="F2:F34">
    <cfRule type="cellIs" dxfId="24" priority="1" operator="equal">
      <formula>"Moved to Next Sprint"</formula>
    </cfRule>
    <cfRule type="cellIs" dxfId="23" priority="2" operator="equal">
      <formula>"Scrapped"</formula>
    </cfRule>
    <cfRule type="cellIs" dxfId="22" priority="3" operator="equal">
      <formula>"In progress"</formula>
    </cfRule>
    <cfRule type="cellIs" dxfId="21" priority="4" operator="equal">
      <formula>"Yes"</formula>
    </cfRule>
    <cfRule type="cellIs" dxfId="20" priority="5" operator="equal">
      <formula>"No"</formula>
    </cfRule>
  </conditionalFormatting>
  <dataValidations count="1">
    <dataValidation type="list" allowBlank="1" showInputMessage="1" showErrorMessage="1" sqref="F2:F34" xr:uid="{D03D2713-BDC0-4F51-A650-D3A04DC506FD}">
      <formula1>"Yes, No, In Progress, Scrapped, Moved to Next Sprint"</formula1>
    </dataValidation>
  </dataValidations>
  <pageMargins left="0.7" right="0.7" top="0.75" bottom="0.75" header="0.3" footer="0.3"/>
  <pageSetup paperSize="9" orientation="portrait" horizontalDpi="1200" verticalDpi="120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2E453-DA67-472D-AC43-5A3BF3EC8420}">
  <dimension ref="A1:I31"/>
  <sheetViews>
    <sheetView topLeftCell="A15" workbookViewId="0">
      <selection activeCell="H32" sqref="H32"/>
    </sheetView>
  </sheetViews>
  <sheetFormatPr defaultRowHeight="15" x14ac:dyDescent="0.25"/>
  <cols>
    <col min="1" max="1" width="37.85546875" customWidth="1"/>
    <col min="2" max="2" width="27.5703125" customWidth="1"/>
    <col min="3" max="3" width="22.5703125" customWidth="1"/>
    <col min="4" max="4" width="24.7109375" customWidth="1"/>
    <col min="5" max="5" width="19.7109375" customWidth="1"/>
    <col min="6" max="6" width="19" bestFit="1" customWidth="1"/>
    <col min="8" max="8" width="37.42578125" bestFit="1" customWidth="1"/>
    <col min="9" max="9" width="17.7109375" bestFit="1" customWidth="1"/>
  </cols>
  <sheetData>
    <row r="1" spans="1:6" x14ac:dyDescent="0.25">
      <c r="A1" t="s">
        <v>13</v>
      </c>
    </row>
    <row r="2" spans="1:6" x14ac:dyDescent="0.25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</row>
    <row r="3" spans="1:6" x14ac:dyDescent="0.25">
      <c r="A3" t="s">
        <v>7</v>
      </c>
      <c r="B3">
        <v>15</v>
      </c>
      <c r="C3">
        <v>1</v>
      </c>
      <c r="D3">
        <v>5</v>
      </c>
      <c r="E3">
        <v>1</v>
      </c>
      <c r="F3" t="s">
        <v>21</v>
      </c>
    </row>
    <row r="4" spans="1:6" x14ac:dyDescent="0.25">
      <c r="A4" t="s">
        <v>8</v>
      </c>
      <c r="B4">
        <v>15</v>
      </c>
      <c r="C4">
        <v>1</v>
      </c>
      <c r="D4">
        <v>5</v>
      </c>
      <c r="E4">
        <v>1</v>
      </c>
      <c r="F4" t="s">
        <v>21</v>
      </c>
    </row>
    <row r="5" spans="1:6" x14ac:dyDescent="0.25">
      <c r="A5" t="s">
        <v>22</v>
      </c>
      <c r="B5">
        <v>15</v>
      </c>
      <c r="C5">
        <v>2</v>
      </c>
      <c r="D5">
        <v>60</v>
      </c>
      <c r="E5">
        <v>1</v>
      </c>
      <c r="F5" t="s">
        <v>21</v>
      </c>
    </row>
    <row r="6" spans="1:6" x14ac:dyDescent="0.25">
      <c r="A6" t="s">
        <v>23</v>
      </c>
      <c r="B6">
        <v>15</v>
      </c>
      <c r="C6">
        <v>1</v>
      </c>
      <c r="D6">
        <v>15</v>
      </c>
      <c r="E6">
        <v>1</v>
      </c>
      <c r="F6" t="s">
        <v>21</v>
      </c>
    </row>
    <row r="7" spans="1:6" x14ac:dyDescent="0.25">
      <c r="A7" t="s">
        <v>30</v>
      </c>
      <c r="B7">
        <v>30</v>
      </c>
      <c r="C7">
        <v>3</v>
      </c>
      <c r="D7">
        <v>145</v>
      </c>
      <c r="E7">
        <v>4</v>
      </c>
      <c r="F7" t="s">
        <v>21</v>
      </c>
    </row>
    <row r="8" spans="1:6" x14ac:dyDescent="0.25">
      <c r="A8" t="s">
        <v>24</v>
      </c>
      <c r="B8">
        <v>30</v>
      </c>
      <c r="C8">
        <v>3</v>
      </c>
      <c r="D8">
        <v>30</v>
      </c>
      <c r="E8">
        <v>4</v>
      </c>
      <c r="F8" t="s">
        <v>21</v>
      </c>
    </row>
    <row r="9" spans="1:6" x14ac:dyDescent="0.25">
      <c r="A9" t="s">
        <v>25</v>
      </c>
      <c r="B9">
        <v>30</v>
      </c>
      <c r="C9">
        <v>4</v>
      </c>
      <c r="D9">
        <v>60</v>
      </c>
      <c r="E9">
        <v>4</v>
      </c>
      <c r="F9" t="s">
        <v>21</v>
      </c>
    </row>
    <row r="10" spans="1:6" x14ac:dyDescent="0.25">
      <c r="A10" t="s">
        <v>26</v>
      </c>
      <c r="B10">
        <v>60</v>
      </c>
      <c r="C10">
        <v>3</v>
      </c>
      <c r="E10">
        <v>3</v>
      </c>
      <c r="F10" t="s">
        <v>27</v>
      </c>
    </row>
    <row r="11" spans="1:6" x14ac:dyDescent="0.25">
      <c r="A11" t="s">
        <v>28</v>
      </c>
      <c r="B11">
        <v>30</v>
      </c>
      <c r="C11">
        <v>4</v>
      </c>
      <c r="F11" t="s">
        <v>29</v>
      </c>
    </row>
    <row r="12" spans="1:6" x14ac:dyDescent="0.25">
      <c r="A12" t="s">
        <v>31</v>
      </c>
      <c r="B12">
        <v>30</v>
      </c>
      <c r="C12">
        <v>3</v>
      </c>
      <c r="D12">
        <v>60</v>
      </c>
      <c r="E12">
        <v>5</v>
      </c>
      <c r="F12" t="s">
        <v>21</v>
      </c>
    </row>
    <row r="19" spans="1:9" x14ac:dyDescent="0.25">
      <c r="A19" s="10" t="s">
        <v>61</v>
      </c>
      <c r="B19" s="9" t="s">
        <v>60</v>
      </c>
      <c r="C19" s="9" t="s">
        <v>62</v>
      </c>
      <c r="D19" s="9" t="s">
        <v>63</v>
      </c>
      <c r="E19" s="9" t="s">
        <v>64</v>
      </c>
      <c r="H19" t="s">
        <v>14</v>
      </c>
      <c r="I19">
        <f>SUM(Table2[Expected Completion Time])</f>
        <v>270</v>
      </c>
    </row>
    <row r="20" spans="1:9" x14ac:dyDescent="0.25">
      <c r="A20" s="11" t="s">
        <v>65</v>
      </c>
      <c r="B20" s="15">
        <f>I19</f>
        <v>270</v>
      </c>
      <c r="C20" s="15">
        <f>I20</f>
        <v>380</v>
      </c>
      <c r="D20" s="15">
        <f>I22</f>
        <v>25</v>
      </c>
      <c r="E20" s="15">
        <f>I23</f>
        <v>24</v>
      </c>
      <c r="H20" t="s">
        <v>15</v>
      </c>
      <c r="I20">
        <f>SUM(Table2[Actual Completion Time])</f>
        <v>380</v>
      </c>
    </row>
    <row r="21" spans="1:9" x14ac:dyDescent="0.25">
      <c r="A21" s="3" t="s">
        <v>7</v>
      </c>
      <c r="B21" s="4">
        <f>I19-B3</f>
        <v>255</v>
      </c>
      <c r="C21" s="4">
        <f t="shared" ref="C21:C30" si="0">C20-D3</f>
        <v>375</v>
      </c>
      <c r="D21" s="4">
        <f t="shared" ref="D21:D30" si="1">D20-C3</f>
        <v>24</v>
      </c>
      <c r="E21" s="4">
        <f t="shared" ref="E21:E30" si="2">E20-E3</f>
        <v>23</v>
      </c>
    </row>
    <row r="22" spans="1:9" x14ac:dyDescent="0.25">
      <c r="A22" s="5" t="s">
        <v>8</v>
      </c>
      <c r="B22" s="6">
        <f t="shared" ref="B22:B30" si="3">B21-B4</f>
        <v>240</v>
      </c>
      <c r="C22" s="6">
        <f t="shared" si="0"/>
        <v>370</v>
      </c>
      <c r="D22" s="6">
        <f t="shared" si="1"/>
        <v>23</v>
      </c>
      <c r="E22" s="6">
        <f t="shared" si="2"/>
        <v>22</v>
      </c>
      <c r="H22" t="s">
        <v>16</v>
      </c>
      <c r="I22">
        <f>SUM(Table2[Expected Effort Value])</f>
        <v>25</v>
      </c>
    </row>
    <row r="23" spans="1:9" x14ac:dyDescent="0.25">
      <c r="A23" s="3" t="s">
        <v>22</v>
      </c>
      <c r="B23" s="4">
        <f t="shared" si="3"/>
        <v>225</v>
      </c>
      <c r="C23" s="4">
        <f t="shared" si="0"/>
        <v>310</v>
      </c>
      <c r="D23" s="4">
        <f t="shared" si="1"/>
        <v>21</v>
      </c>
      <c r="E23" s="4">
        <f t="shared" si="2"/>
        <v>21</v>
      </c>
      <c r="H23" t="s">
        <v>17</v>
      </c>
      <c r="I23">
        <f>SUM(Table2[Actual Effort Value])</f>
        <v>24</v>
      </c>
    </row>
    <row r="24" spans="1:9" x14ac:dyDescent="0.25">
      <c r="A24" s="5" t="s">
        <v>23</v>
      </c>
      <c r="B24" s="6">
        <f t="shared" si="3"/>
        <v>210</v>
      </c>
      <c r="C24" s="6">
        <f t="shared" si="0"/>
        <v>295</v>
      </c>
      <c r="D24" s="6">
        <f t="shared" si="1"/>
        <v>20</v>
      </c>
      <c r="E24" s="6">
        <f t="shared" si="2"/>
        <v>20</v>
      </c>
    </row>
    <row r="25" spans="1:9" x14ac:dyDescent="0.25">
      <c r="A25" s="3" t="s">
        <v>30</v>
      </c>
      <c r="B25" s="4">
        <f t="shared" si="3"/>
        <v>180</v>
      </c>
      <c r="C25" s="4">
        <f t="shared" si="0"/>
        <v>150</v>
      </c>
      <c r="D25" s="4">
        <f t="shared" si="1"/>
        <v>17</v>
      </c>
      <c r="E25" s="4">
        <f t="shared" si="2"/>
        <v>16</v>
      </c>
    </row>
    <row r="26" spans="1:9" x14ac:dyDescent="0.25">
      <c r="A26" s="5" t="s">
        <v>24</v>
      </c>
      <c r="B26" s="6">
        <f t="shared" si="3"/>
        <v>150</v>
      </c>
      <c r="C26" s="6">
        <f t="shared" si="0"/>
        <v>120</v>
      </c>
      <c r="D26" s="6">
        <f t="shared" si="1"/>
        <v>14</v>
      </c>
      <c r="E26" s="6">
        <f t="shared" si="2"/>
        <v>12</v>
      </c>
    </row>
    <row r="27" spans="1:9" x14ac:dyDescent="0.25">
      <c r="A27" s="3" t="s">
        <v>25</v>
      </c>
      <c r="B27" s="4">
        <f t="shared" si="3"/>
        <v>120</v>
      </c>
      <c r="C27" s="4">
        <f t="shared" si="0"/>
        <v>60</v>
      </c>
      <c r="D27" s="4">
        <f t="shared" si="1"/>
        <v>10</v>
      </c>
      <c r="E27" s="4">
        <f t="shared" si="2"/>
        <v>8</v>
      </c>
    </row>
    <row r="28" spans="1:9" x14ac:dyDescent="0.25">
      <c r="A28" s="5" t="s">
        <v>26</v>
      </c>
      <c r="B28" s="6">
        <f t="shared" si="3"/>
        <v>60</v>
      </c>
      <c r="C28" s="6">
        <f t="shared" si="0"/>
        <v>60</v>
      </c>
      <c r="D28" s="6">
        <f t="shared" si="1"/>
        <v>7</v>
      </c>
      <c r="E28" s="6">
        <f t="shared" si="2"/>
        <v>5</v>
      </c>
    </row>
    <row r="29" spans="1:9" x14ac:dyDescent="0.25">
      <c r="A29" s="3" t="s">
        <v>28</v>
      </c>
      <c r="B29" s="4">
        <f t="shared" si="3"/>
        <v>30</v>
      </c>
      <c r="C29" s="4">
        <f t="shared" si="0"/>
        <v>60</v>
      </c>
      <c r="D29" s="4">
        <f t="shared" si="1"/>
        <v>3</v>
      </c>
      <c r="E29" s="4">
        <f t="shared" si="2"/>
        <v>5</v>
      </c>
    </row>
    <row r="30" spans="1:9" x14ac:dyDescent="0.25">
      <c r="A30" s="14" t="s">
        <v>31</v>
      </c>
      <c r="B30" s="12">
        <f t="shared" si="3"/>
        <v>0</v>
      </c>
      <c r="C30" s="12">
        <f t="shared" si="0"/>
        <v>0</v>
      </c>
      <c r="D30" s="12">
        <f t="shared" si="1"/>
        <v>0</v>
      </c>
      <c r="E30" s="12">
        <f t="shared" si="2"/>
        <v>0</v>
      </c>
    </row>
    <row r="31" spans="1:9" x14ac:dyDescent="0.25">
      <c r="A31" s="13"/>
    </row>
  </sheetData>
  <conditionalFormatting sqref="F3:F12">
    <cfRule type="cellIs" dxfId="19" priority="1" operator="equal">
      <formula>"Moved to Next Sprint"</formula>
    </cfRule>
    <cfRule type="cellIs" dxfId="18" priority="2" operator="equal">
      <formula>"Scrapped"</formula>
    </cfRule>
    <cfRule type="cellIs" dxfId="17" priority="3" operator="equal">
      <formula>"In progress"</formula>
    </cfRule>
    <cfRule type="cellIs" dxfId="16" priority="4" operator="equal">
      <formula>"Yes"</formula>
    </cfRule>
    <cfRule type="cellIs" dxfId="15" priority="5" operator="equal">
      <formula>"No"</formula>
    </cfRule>
  </conditionalFormatting>
  <dataValidations count="1">
    <dataValidation type="list" allowBlank="1" showInputMessage="1" showErrorMessage="1" sqref="F3:F12" xr:uid="{93BF6216-5ED5-4555-B6C4-8209BACE40BD}">
      <formula1>"Yes, No, In Progress, Scrapped, Moved to Next Sprint"</formula1>
    </dataValidation>
  </dataValidations>
  <pageMargins left="0.7" right="0.7" top="0.75" bottom="0.75" header="0.3" footer="0.3"/>
  <pageSetup paperSize="9" orientation="portrait" horizontalDpi="1200" verticalDpi="1200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B98C4-6DC6-464D-A42E-88ABC62458D9}">
  <dimension ref="A1:I30"/>
  <sheetViews>
    <sheetView workbookViewId="0">
      <selection activeCell="D14" sqref="D14"/>
    </sheetView>
  </sheetViews>
  <sheetFormatPr defaultRowHeight="15" x14ac:dyDescent="0.25"/>
  <cols>
    <col min="1" max="1" width="30.42578125" customWidth="1"/>
    <col min="2" max="2" width="27.5703125" customWidth="1"/>
    <col min="3" max="3" width="22.5703125" customWidth="1"/>
    <col min="4" max="4" width="24.7109375" customWidth="1"/>
    <col min="5" max="5" width="19.7109375" customWidth="1"/>
    <col min="6" max="6" width="17.140625" customWidth="1"/>
    <col min="8" max="8" width="37.42578125" bestFit="1" customWidth="1"/>
    <col min="9" max="9" width="17.7109375" bestFit="1" customWidth="1"/>
  </cols>
  <sheetData>
    <row r="1" spans="1:6" x14ac:dyDescent="0.25">
      <c r="A1" t="s">
        <v>18</v>
      </c>
    </row>
    <row r="2" spans="1:6" x14ac:dyDescent="0.25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</row>
    <row r="3" spans="1:6" x14ac:dyDescent="0.25">
      <c r="A3" t="s">
        <v>33</v>
      </c>
      <c r="B3">
        <v>15</v>
      </c>
      <c r="C3">
        <v>1</v>
      </c>
      <c r="D3">
        <v>9</v>
      </c>
      <c r="E3">
        <v>1</v>
      </c>
      <c r="F3" t="s">
        <v>21</v>
      </c>
    </row>
    <row r="4" spans="1:6" x14ac:dyDescent="0.25">
      <c r="A4" t="s">
        <v>32</v>
      </c>
      <c r="B4">
        <v>60</v>
      </c>
      <c r="C4">
        <v>5</v>
      </c>
      <c r="E4">
        <v>5</v>
      </c>
      <c r="F4" t="s">
        <v>42</v>
      </c>
    </row>
    <row r="5" spans="1:6" x14ac:dyDescent="0.25">
      <c r="A5" t="s">
        <v>34</v>
      </c>
      <c r="B5">
        <v>15</v>
      </c>
      <c r="C5">
        <v>1</v>
      </c>
      <c r="D5">
        <v>10</v>
      </c>
      <c r="E5">
        <v>1</v>
      </c>
      <c r="F5" t="s">
        <v>21</v>
      </c>
    </row>
    <row r="6" spans="1:6" x14ac:dyDescent="0.25">
      <c r="A6" t="s">
        <v>35</v>
      </c>
      <c r="B6">
        <v>15</v>
      </c>
      <c r="C6">
        <v>2</v>
      </c>
      <c r="D6">
        <v>30</v>
      </c>
      <c r="E6">
        <v>3</v>
      </c>
      <c r="F6" t="s">
        <v>21</v>
      </c>
    </row>
    <row r="7" spans="1:6" x14ac:dyDescent="0.25">
      <c r="A7" t="s">
        <v>36</v>
      </c>
      <c r="B7">
        <v>30</v>
      </c>
      <c r="C7">
        <v>3</v>
      </c>
      <c r="D7">
        <v>60</v>
      </c>
      <c r="E7">
        <v>4</v>
      </c>
      <c r="F7" t="s">
        <v>21</v>
      </c>
    </row>
    <row r="8" spans="1:6" x14ac:dyDescent="0.25">
      <c r="A8" t="s">
        <v>37</v>
      </c>
      <c r="B8">
        <v>60</v>
      </c>
      <c r="C8">
        <v>3</v>
      </c>
      <c r="D8">
        <v>60</v>
      </c>
      <c r="E8">
        <v>4</v>
      </c>
      <c r="F8" t="s">
        <v>21</v>
      </c>
    </row>
    <row r="9" spans="1:6" x14ac:dyDescent="0.25">
      <c r="A9" t="s">
        <v>38</v>
      </c>
      <c r="B9">
        <v>15</v>
      </c>
      <c r="C9">
        <v>2</v>
      </c>
      <c r="D9">
        <v>30</v>
      </c>
      <c r="E9">
        <v>2</v>
      </c>
      <c r="F9" t="s">
        <v>21</v>
      </c>
    </row>
    <row r="10" spans="1:6" x14ac:dyDescent="0.25">
      <c r="A10" t="s">
        <v>39</v>
      </c>
      <c r="B10">
        <v>15</v>
      </c>
      <c r="C10">
        <v>1</v>
      </c>
      <c r="D10">
        <v>15</v>
      </c>
      <c r="E10">
        <v>1</v>
      </c>
      <c r="F10" t="s">
        <v>21</v>
      </c>
    </row>
    <row r="19" spans="1:9" x14ac:dyDescent="0.25">
      <c r="A19" s="10" t="s">
        <v>61</v>
      </c>
      <c r="B19" s="9" t="s">
        <v>60</v>
      </c>
      <c r="C19" s="9" t="s">
        <v>62</v>
      </c>
      <c r="D19" s="9" t="s">
        <v>63</v>
      </c>
      <c r="E19" s="9" t="s">
        <v>64</v>
      </c>
      <c r="H19" t="s">
        <v>14</v>
      </c>
      <c r="I19">
        <f>SUM(Table24[Expected Completion Time])</f>
        <v>225</v>
      </c>
    </row>
    <row r="20" spans="1:9" x14ac:dyDescent="0.25">
      <c r="A20" s="7" t="s">
        <v>65</v>
      </c>
      <c r="B20" s="15">
        <f>I19</f>
        <v>225</v>
      </c>
      <c r="C20" s="15">
        <f>I20</f>
        <v>214</v>
      </c>
      <c r="D20" s="15">
        <f>I22</f>
        <v>18</v>
      </c>
      <c r="E20" s="15">
        <f>I23</f>
        <v>21</v>
      </c>
      <c r="H20" t="s">
        <v>15</v>
      </c>
      <c r="I20">
        <f>SUM(Table24[Actual Completion Time])</f>
        <v>214</v>
      </c>
    </row>
    <row r="21" spans="1:9" x14ac:dyDescent="0.25">
      <c r="A21" s="3" t="s">
        <v>33</v>
      </c>
      <c r="B21" s="4">
        <f t="shared" ref="B21:B28" si="0">B20-B3</f>
        <v>210</v>
      </c>
      <c r="C21" s="4">
        <f t="shared" ref="C21:C28" si="1">C20-D3</f>
        <v>205</v>
      </c>
      <c r="D21" s="4">
        <f t="shared" ref="D21:D28" si="2">D20-C3</f>
        <v>17</v>
      </c>
      <c r="E21" s="4">
        <f t="shared" ref="E21:E28" si="3">E20-E3</f>
        <v>20</v>
      </c>
    </row>
    <row r="22" spans="1:9" x14ac:dyDescent="0.25">
      <c r="A22" s="5" t="s">
        <v>32</v>
      </c>
      <c r="B22" s="6">
        <f t="shared" si="0"/>
        <v>150</v>
      </c>
      <c r="C22" s="6">
        <f t="shared" si="1"/>
        <v>205</v>
      </c>
      <c r="D22" s="6">
        <f t="shared" si="2"/>
        <v>12</v>
      </c>
      <c r="E22" s="6">
        <f t="shared" si="3"/>
        <v>15</v>
      </c>
      <c r="H22" t="s">
        <v>16</v>
      </c>
      <c r="I22">
        <f>SUM(Table24[Expected Effort Value])</f>
        <v>18</v>
      </c>
    </row>
    <row r="23" spans="1:9" x14ac:dyDescent="0.25">
      <c r="A23" s="3" t="s">
        <v>34</v>
      </c>
      <c r="B23" s="4">
        <f t="shared" si="0"/>
        <v>135</v>
      </c>
      <c r="C23" s="4">
        <f t="shared" si="1"/>
        <v>195</v>
      </c>
      <c r="D23" s="4">
        <f t="shared" si="2"/>
        <v>11</v>
      </c>
      <c r="E23" s="4">
        <f t="shared" si="3"/>
        <v>14</v>
      </c>
      <c r="H23" t="s">
        <v>17</v>
      </c>
      <c r="I23">
        <f>SUM(Table24[Actual Effort Value])</f>
        <v>21</v>
      </c>
    </row>
    <row r="24" spans="1:9" x14ac:dyDescent="0.25">
      <c r="A24" s="5" t="s">
        <v>35</v>
      </c>
      <c r="B24" s="6">
        <f t="shared" si="0"/>
        <v>120</v>
      </c>
      <c r="C24" s="6">
        <f t="shared" si="1"/>
        <v>165</v>
      </c>
      <c r="D24" s="6">
        <f t="shared" si="2"/>
        <v>9</v>
      </c>
      <c r="E24" s="6">
        <f t="shared" si="3"/>
        <v>11</v>
      </c>
    </row>
    <row r="25" spans="1:9" x14ac:dyDescent="0.25">
      <c r="A25" s="3" t="s">
        <v>36</v>
      </c>
      <c r="B25" s="4">
        <f t="shared" si="0"/>
        <v>90</v>
      </c>
      <c r="C25" s="4">
        <f t="shared" si="1"/>
        <v>105</v>
      </c>
      <c r="D25" s="4">
        <f t="shared" si="2"/>
        <v>6</v>
      </c>
      <c r="E25" s="4">
        <f t="shared" si="3"/>
        <v>7</v>
      </c>
    </row>
    <row r="26" spans="1:9" x14ac:dyDescent="0.25">
      <c r="A26" s="5" t="s">
        <v>37</v>
      </c>
      <c r="B26" s="6">
        <f t="shared" si="0"/>
        <v>30</v>
      </c>
      <c r="C26" s="6">
        <f t="shared" si="1"/>
        <v>45</v>
      </c>
      <c r="D26" s="6">
        <f t="shared" si="2"/>
        <v>3</v>
      </c>
      <c r="E26" s="6">
        <f t="shared" si="3"/>
        <v>3</v>
      </c>
    </row>
    <row r="27" spans="1:9" x14ac:dyDescent="0.25">
      <c r="A27" s="3" t="s">
        <v>38</v>
      </c>
      <c r="B27" s="4">
        <f t="shared" si="0"/>
        <v>15</v>
      </c>
      <c r="C27" s="4">
        <f t="shared" si="1"/>
        <v>15</v>
      </c>
      <c r="D27" s="4">
        <f t="shared" si="2"/>
        <v>1</v>
      </c>
      <c r="E27" s="4">
        <f t="shared" si="3"/>
        <v>1</v>
      </c>
    </row>
    <row r="28" spans="1:9" x14ac:dyDescent="0.25">
      <c r="A28" s="14" t="s">
        <v>39</v>
      </c>
      <c r="B28" s="12">
        <f t="shared" si="0"/>
        <v>0</v>
      </c>
      <c r="C28" s="12">
        <f t="shared" si="1"/>
        <v>0</v>
      </c>
      <c r="D28" s="12">
        <f t="shared" si="2"/>
        <v>0</v>
      </c>
      <c r="E28" s="12">
        <f t="shared" si="3"/>
        <v>0</v>
      </c>
    </row>
    <row r="29" spans="1:9" x14ac:dyDescent="0.25">
      <c r="A29" s="17"/>
      <c r="B29" s="18"/>
      <c r="C29" s="18"/>
      <c r="D29" s="18"/>
      <c r="E29" s="18"/>
    </row>
    <row r="30" spans="1:9" x14ac:dyDescent="0.25">
      <c r="A30" s="16"/>
    </row>
  </sheetData>
  <conditionalFormatting sqref="F3:F10">
    <cfRule type="cellIs" dxfId="14" priority="1" operator="equal">
      <formula>"Moved to Next Sprint"</formula>
    </cfRule>
    <cfRule type="cellIs" dxfId="13" priority="2" operator="equal">
      <formula>"Scrapped"</formula>
    </cfRule>
    <cfRule type="cellIs" dxfId="12" priority="3" operator="equal">
      <formula>"In progress"</formula>
    </cfRule>
    <cfRule type="cellIs" dxfId="11" priority="4" operator="equal">
      <formula>"Yes"</formula>
    </cfRule>
    <cfRule type="cellIs" dxfId="10" priority="5" operator="equal">
      <formula>"No"</formula>
    </cfRule>
  </conditionalFormatting>
  <dataValidations count="1">
    <dataValidation type="list" allowBlank="1" showInputMessage="1" showErrorMessage="1" sqref="F3:F10" xr:uid="{1EB9AAD5-7528-4FC4-AEB3-39913E24CD3D}">
      <formula1>"Yes, No, In Progress, Scrapped, Moved to Next Sprint"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928C4-9199-427E-AD48-35D4EC2409D3}">
  <dimension ref="A1:I30"/>
  <sheetViews>
    <sheetView workbookViewId="0">
      <selection activeCell="B13" sqref="B13"/>
    </sheetView>
  </sheetViews>
  <sheetFormatPr defaultRowHeight="15" x14ac:dyDescent="0.25"/>
  <cols>
    <col min="1" max="1" width="29.28515625" customWidth="1"/>
    <col min="2" max="2" width="27.5703125" customWidth="1"/>
    <col min="3" max="3" width="22.5703125" customWidth="1"/>
    <col min="4" max="4" width="24.7109375" customWidth="1"/>
    <col min="5" max="5" width="19.7109375" customWidth="1"/>
    <col min="6" max="6" width="17" customWidth="1"/>
    <col min="8" max="8" width="37.42578125" bestFit="1" customWidth="1"/>
    <col min="9" max="9" width="17.7109375" bestFit="1" customWidth="1"/>
  </cols>
  <sheetData>
    <row r="1" spans="1:6" x14ac:dyDescent="0.25">
      <c r="A1" t="s">
        <v>19</v>
      </c>
    </row>
    <row r="2" spans="1:6" x14ac:dyDescent="0.25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</row>
    <row r="3" spans="1:6" x14ac:dyDescent="0.25">
      <c r="A3" t="s">
        <v>32</v>
      </c>
      <c r="B3">
        <v>60</v>
      </c>
      <c r="C3">
        <v>5</v>
      </c>
      <c r="D3">
        <v>120</v>
      </c>
      <c r="E3">
        <v>5</v>
      </c>
      <c r="F3" t="s">
        <v>21</v>
      </c>
    </row>
    <row r="4" spans="1:6" x14ac:dyDescent="0.25">
      <c r="A4" t="s">
        <v>40</v>
      </c>
      <c r="B4">
        <v>120</v>
      </c>
      <c r="C4">
        <v>3</v>
      </c>
      <c r="D4">
        <v>120</v>
      </c>
      <c r="E4">
        <v>3</v>
      </c>
      <c r="F4" t="s">
        <v>21</v>
      </c>
    </row>
    <row r="5" spans="1:6" x14ac:dyDescent="0.25">
      <c r="A5" t="s">
        <v>41</v>
      </c>
      <c r="B5">
        <v>120</v>
      </c>
      <c r="C5">
        <v>4</v>
      </c>
      <c r="E5">
        <v>5</v>
      </c>
      <c r="F5" t="s">
        <v>42</v>
      </c>
    </row>
    <row r="6" spans="1:6" x14ac:dyDescent="0.25">
      <c r="A6" t="s">
        <v>43</v>
      </c>
      <c r="B6">
        <v>15</v>
      </c>
      <c r="C6">
        <v>2</v>
      </c>
      <c r="D6">
        <v>30</v>
      </c>
      <c r="E6">
        <v>2</v>
      </c>
      <c r="F6" t="s">
        <v>21</v>
      </c>
    </row>
    <row r="7" spans="1:6" x14ac:dyDescent="0.25">
      <c r="A7" t="s">
        <v>44</v>
      </c>
      <c r="B7">
        <v>120</v>
      </c>
      <c r="C7">
        <v>3</v>
      </c>
      <c r="D7">
        <v>90</v>
      </c>
      <c r="E7">
        <v>4</v>
      </c>
      <c r="F7" t="s">
        <v>21</v>
      </c>
    </row>
    <row r="8" spans="1:6" x14ac:dyDescent="0.25">
      <c r="A8" t="s">
        <v>45</v>
      </c>
      <c r="B8">
        <v>60</v>
      </c>
      <c r="C8">
        <v>3</v>
      </c>
      <c r="D8">
        <v>60</v>
      </c>
      <c r="E8">
        <v>4</v>
      </c>
      <c r="F8" t="s">
        <v>21</v>
      </c>
    </row>
    <row r="9" spans="1:6" x14ac:dyDescent="0.25">
      <c r="A9" t="s">
        <v>46</v>
      </c>
      <c r="B9">
        <v>30</v>
      </c>
      <c r="C9">
        <v>2</v>
      </c>
      <c r="D9">
        <v>30</v>
      </c>
      <c r="E9">
        <v>3</v>
      </c>
      <c r="F9" t="s">
        <v>21</v>
      </c>
    </row>
    <row r="10" spans="1:6" x14ac:dyDescent="0.25">
      <c r="A10" t="s">
        <v>47</v>
      </c>
      <c r="B10">
        <v>15</v>
      </c>
      <c r="C10">
        <v>2</v>
      </c>
      <c r="D10">
        <v>30</v>
      </c>
      <c r="E10">
        <v>2</v>
      </c>
      <c r="F10" t="s">
        <v>21</v>
      </c>
    </row>
    <row r="19" spans="1:9" x14ac:dyDescent="0.25">
      <c r="A19" s="10" t="s">
        <v>61</v>
      </c>
      <c r="B19" s="9" t="s">
        <v>60</v>
      </c>
      <c r="C19" s="9" t="s">
        <v>62</v>
      </c>
      <c r="D19" s="9" t="s">
        <v>63</v>
      </c>
      <c r="E19" s="9" t="s">
        <v>64</v>
      </c>
      <c r="H19" t="s">
        <v>14</v>
      </c>
      <c r="I19">
        <f>SUM(Table25[Expected Completion Time])</f>
        <v>540</v>
      </c>
    </row>
    <row r="20" spans="1:9" x14ac:dyDescent="0.25">
      <c r="A20" s="5" t="s">
        <v>65</v>
      </c>
      <c r="B20" s="6">
        <f>I19</f>
        <v>540</v>
      </c>
      <c r="C20" s="6">
        <f>I20</f>
        <v>480</v>
      </c>
      <c r="D20" s="6">
        <f>I22</f>
        <v>24</v>
      </c>
      <c r="E20" s="6">
        <f>I23</f>
        <v>28</v>
      </c>
      <c r="H20" t="s">
        <v>15</v>
      </c>
      <c r="I20">
        <f>SUM(Table25[Actual Completion Time])</f>
        <v>480</v>
      </c>
    </row>
    <row r="21" spans="1:9" x14ac:dyDescent="0.25">
      <c r="A21" s="3" t="s">
        <v>32</v>
      </c>
      <c r="B21" s="4">
        <f>I19-B3</f>
        <v>480</v>
      </c>
      <c r="C21" s="4">
        <f t="shared" ref="C21:C28" si="0">C20-D3</f>
        <v>360</v>
      </c>
      <c r="D21" s="4">
        <f t="shared" ref="D21:D28" si="1">D20-C3</f>
        <v>19</v>
      </c>
      <c r="E21" s="4">
        <f t="shared" ref="E21:E28" si="2">E20-E3</f>
        <v>23</v>
      </c>
    </row>
    <row r="22" spans="1:9" x14ac:dyDescent="0.25">
      <c r="A22" s="5" t="s">
        <v>40</v>
      </c>
      <c r="B22" s="6">
        <f t="shared" ref="B22:B28" si="3">B21-B4</f>
        <v>360</v>
      </c>
      <c r="C22" s="6">
        <f t="shared" si="0"/>
        <v>240</v>
      </c>
      <c r="D22" s="6">
        <f t="shared" si="1"/>
        <v>16</v>
      </c>
      <c r="E22" s="6">
        <f t="shared" si="2"/>
        <v>20</v>
      </c>
      <c r="H22" t="s">
        <v>16</v>
      </c>
      <c r="I22">
        <f>SUM(Table25[Expected Effort Value])</f>
        <v>24</v>
      </c>
    </row>
    <row r="23" spans="1:9" x14ac:dyDescent="0.25">
      <c r="A23" s="3" t="s">
        <v>41</v>
      </c>
      <c r="B23" s="4">
        <f t="shared" si="3"/>
        <v>240</v>
      </c>
      <c r="C23" s="4">
        <f t="shared" si="0"/>
        <v>240</v>
      </c>
      <c r="D23" s="4">
        <f t="shared" si="1"/>
        <v>12</v>
      </c>
      <c r="E23" s="4">
        <f t="shared" si="2"/>
        <v>15</v>
      </c>
      <c r="H23" t="s">
        <v>17</v>
      </c>
      <c r="I23">
        <f>SUM(Table25[Actual Effort Value])</f>
        <v>28</v>
      </c>
    </row>
    <row r="24" spans="1:9" x14ac:dyDescent="0.25">
      <c r="A24" s="5" t="s">
        <v>43</v>
      </c>
      <c r="B24" s="6">
        <f t="shared" si="3"/>
        <v>225</v>
      </c>
      <c r="C24" s="6">
        <f t="shared" si="0"/>
        <v>210</v>
      </c>
      <c r="D24" s="6">
        <f t="shared" si="1"/>
        <v>10</v>
      </c>
      <c r="E24" s="6">
        <f t="shared" si="2"/>
        <v>13</v>
      </c>
    </row>
    <row r="25" spans="1:9" x14ac:dyDescent="0.25">
      <c r="A25" s="3" t="s">
        <v>44</v>
      </c>
      <c r="B25" s="4">
        <f t="shared" si="3"/>
        <v>105</v>
      </c>
      <c r="C25" s="4">
        <f t="shared" si="0"/>
        <v>120</v>
      </c>
      <c r="D25" s="4">
        <f t="shared" si="1"/>
        <v>7</v>
      </c>
      <c r="E25" s="4">
        <f t="shared" si="2"/>
        <v>9</v>
      </c>
    </row>
    <row r="26" spans="1:9" x14ac:dyDescent="0.25">
      <c r="A26" s="5" t="s">
        <v>45</v>
      </c>
      <c r="B26" s="6">
        <f t="shared" si="3"/>
        <v>45</v>
      </c>
      <c r="C26" s="6">
        <f t="shared" si="0"/>
        <v>60</v>
      </c>
      <c r="D26" s="6">
        <f t="shared" si="1"/>
        <v>4</v>
      </c>
      <c r="E26" s="6">
        <f t="shared" si="2"/>
        <v>5</v>
      </c>
    </row>
    <row r="27" spans="1:9" x14ac:dyDescent="0.25">
      <c r="A27" s="3" t="s">
        <v>46</v>
      </c>
      <c r="B27" s="4">
        <f t="shared" si="3"/>
        <v>15</v>
      </c>
      <c r="C27" s="4">
        <f t="shared" si="0"/>
        <v>30</v>
      </c>
      <c r="D27" s="4">
        <f t="shared" si="1"/>
        <v>2</v>
      </c>
      <c r="E27" s="4">
        <f t="shared" si="2"/>
        <v>2</v>
      </c>
    </row>
    <row r="28" spans="1:9" x14ac:dyDescent="0.25">
      <c r="A28" s="14" t="s">
        <v>47</v>
      </c>
      <c r="B28" s="12">
        <f t="shared" si="3"/>
        <v>0</v>
      </c>
      <c r="C28" s="12">
        <f t="shared" si="0"/>
        <v>0</v>
      </c>
      <c r="D28" s="12">
        <f t="shared" si="1"/>
        <v>0</v>
      </c>
      <c r="E28" s="12">
        <f t="shared" si="2"/>
        <v>0</v>
      </c>
    </row>
    <row r="29" spans="1:9" x14ac:dyDescent="0.25">
      <c r="A29" s="17"/>
      <c r="B29" s="18"/>
      <c r="C29" s="18"/>
      <c r="D29" s="18"/>
      <c r="E29" s="18"/>
    </row>
    <row r="30" spans="1:9" x14ac:dyDescent="0.25">
      <c r="A30" s="19"/>
      <c r="B30" s="20"/>
      <c r="C30" s="20"/>
      <c r="D30" s="20"/>
      <c r="E30" s="20"/>
    </row>
  </sheetData>
  <conditionalFormatting sqref="F3:F10">
    <cfRule type="cellIs" dxfId="9" priority="1" operator="equal">
      <formula>"Moved to Next Sprint"</formula>
    </cfRule>
    <cfRule type="cellIs" dxfId="8" priority="2" operator="equal">
      <formula>"Scrapped"</formula>
    </cfRule>
    <cfRule type="cellIs" dxfId="7" priority="3" operator="equal">
      <formula>"In progress"</formula>
    </cfRule>
    <cfRule type="cellIs" dxfId="6" priority="4" operator="equal">
      <formula>"Yes"</formula>
    </cfRule>
    <cfRule type="cellIs" dxfId="5" priority="5" operator="equal">
      <formula>"No"</formula>
    </cfRule>
  </conditionalFormatting>
  <dataValidations count="1">
    <dataValidation type="list" allowBlank="1" showInputMessage="1" showErrorMessage="1" sqref="F3:F10" xr:uid="{5043D348-F4AF-4FF3-8558-B5922F40DD4B}">
      <formula1>"Yes, No, In Progress, Scrapped, Moved to Next Sprint"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7668B-8B8F-47A7-887F-4C614B109A9F}">
  <dimension ref="A1:I31"/>
  <sheetViews>
    <sheetView workbookViewId="0">
      <selection activeCell="A3" sqref="A3:E9"/>
    </sheetView>
  </sheetViews>
  <sheetFormatPr defaultRowHeight="15" x14ac:dyDescent="0.25"/>
  <cols>
    <col min="1" max="1" width="18.140625" customWidth="1"/>
    <col min="2" max="2" width="27.5703125" customWidth="1"/>
    <col min="3" max="3" width="22.5703125" customWidth="1"/>
    <col min="4" max="4" width="24.7109375" customWidth="1"/>
    <col min="5" max="5" width="19.7109375" customWidth="1"/>
    <col min="6" max="6" width="14.42578125" bestFit="1" customWidth="1"/>
    <col min="8" max="8" width="37.42578125" bestFit="1" customWidth="1"/>
    <col min="9" max="9" width="17.7109375" bestFit="1" customWidth="1"/>
  </cols>
  <sheetData>
    <row r="1" spans="1:6" x14ac:dyDescent="0.25">
      <c r="A1" t="s">
        <v>20</v>
      </c>
    </row>
    <row r="2" spans="1:6" x14ac:dyDescent="0.25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</row>
    <row r="3" spans="1:6" x14ac:dyDescent="0.25">
      <c r="A3" t="s">
        <v>41</v>
      </c>
      <c r="B3">
        <v>60</v>
      </c>
      <c r="C3">
        <v>4</v>
      </c>
      <c r="D3">
        <v>90</v>
      </c>
      <c r="E3">
        <v>5</v>
      </c>
      <c r="F3" t="s">
        <v>21</v>
      </c>
    </row>
    <row r="4" spans="1:6" x14ac:dyDescent="0.25">
      <c r="A4" t="s">
        <v>48</v>
      </c>
      <c r="B4">
        <v>60</v>
      </c>
      <c r="C4">
        <v>2</v>
      </c>
      <c r="D4">
        <v>90</v>
      </c>
      <c r="E4">
        <v>3</v>
      </c>
      <c r="F4" t="s">
        <v>21</v>
      </c>
    </row>
    <row r="5" spans="1:6" x14ac:dyDescent="0.25">
      <c r="A5" t="s">
        <v>59</v>
      </c>
      <c r="B5">
        <v>15</v>
      </c>
      <c r="C5">
        <v>2</v>
      </c>
      <c r="D5">
        <v>30</v>
      </c>
      <c r="E5">
        <v>2</v>
      </c>
      <c r="F5" t="s">
        <v>21</v>
      </c>
    </row>
    <row r="6" spans="1:6" x14ac:dyDescent="0.25">
      <c r="A6" t="s">
        <v>49</v>
      </c>
      <c r="B6">
        <v>120</v>
      </c>
      <c r="C6">
        <v>2</v>
      </c>
      <c r="D6">
        <v>180</v>
      </c>
      <c r="E6">
        <v>3</v>
      </c>
      <c r="F6" t="s">
        <v>21</v>
      </c>
    </row>
    <row r="7" spans="1:6" x14ac:dyDescent="0.25">
      <c r="A7" t="s">
        <v>50</v>
      </c>
      <c r="F7" t="s">
        <v>29</v>
      </c>
    </row>
    <row r="8" spans="1:6" x14ac:dyDescent="0.25">
      <c r="A8" t="s">
        <v>51</v>
      </c>
      <c r="F8" t="s">
        <v>29</v>
      </c>
    </row>
    <row r="9" spans="1:6" x14ac:dyDescent="0.25">
      <c r="A9" t="s">
        <v>52</v>
      </c>
      <c r="B9">
        <v>120</v>
      </c>
      <c r="C9">
        <v>3</v>
      </c>
      <c r="D9">
        <v>200</v>
      </c>
      <c r="E9">
        <v>5</v>
      </c>
      <c r="F9" t="s">
        <v>21</v>
      </c>
    </row>
    <row r="19" spans="1:9" x14ac:dyDescent="0.25">
      <c r="A19" s="10" t="s">
        <v>61</v>
      </c>
      <c r="B19" s="9" t="s">
        <v>60</v>
      </c>
      <c r="C19" s="9" t="s">
        <v>62</v>
      </c>
      <c r="D19" s="9" t="s">
        <v>63</v>
      </c>
      <c r="E19" s="9" t="s">
        <v>64</v>
      </c>
      <c r="H19" t="s">
        <v>14</v>
      </c>
      <c r="I19">
        <f>SUM(Table26[Expected Completion Time])</f>
        <v>375</v>
      </c>
    </row>
    <row r="20" spans="1:9" x14ac:dyDescent="0.25">
      <c r="A20" s="11" t="s">
        <v>65</v>
      </c>
      <c r="B20" s="15">
        <f>I19</f>
        <v>375</v>
      </c>
      <c r="C20" s="15">
        <f>I20</f>
        <v>590</v>
      </c>
      <c r="D20" s="15">
        <f>I22</f>
        <v>13</v>
      </c>
      <c r="E20" s="15">
        <f>I23</f>
        <v>18</v>
      </c>
      <c r="H20" t="s">
        <v>15</v>
      </c>
      <c r="I20">
        <f>SUM(Table26[Actual Completion Time])</f>
        <v>590</v>
      </c>
    </row>
    <row r="21" spans="1:9" x14ac:dyDescent="0.25">
      <c r="A21" s="3" t="s">
        <v>41</v>
      </c>
      <c r="B21" s="4">
        <f>I19-B3</f>
        <v>315</v>
      </c>
      <c r="C21" s="4">
        <f t="shared" ref="C21:C27" si="0">C20-D3</f>
        <v>500</v>
      </c>
      <c r="D21" s="4">
        <f t="shared" ref="D21:D27" si="1">D20-C3</f>
        <v>9</v>
      </c>
      <c r="E21" s="4">
        <f t="shared" ref="E21:E27" si="2">E20-E3</f>
        <v>13</v>
      </c>
    </row>
    <row r="22" spans="1:9" x14ac:dyDescent="0.25">
      <c r="A22" s="5" t="s">
        <v>48</v>
      </c>
      <c r="B22" s="6">
        <f t="shared" ref="B22:B27" si="3">B21-B4</f>
        <v>255</v>
      </c>
      <c r="C22" s="6">
        <f t="shared" si="0"/>
        <v>410</v>
      </c>
      <c r="D22" s="6">
        <f t="shared" si="1"/>
        <v>7</v>
      </c>
      <c r="E22" s="6">
        <f t="shared" si="2"/>
        <v>10</v>
      </c>
      <c r="H22" t="s">
        <v>16</v>
      </c>
      <c r="I22">
        <f>SUM(Table26[Expected Effort Value])</f>
        <v>13</v>
      </c>
    </row>
    <row r="23" spans="1:9" x14ac:dyDescent="0.25">
      <c r="A23" s="3" t="s">
        <v>59</v>
      </c>
      <c r="B23" s="4">
        <f t="shared" si="3"/>
        <v>240</v>
      </c>
      <c r="C23" s="4">
        <f t="shared" si="0"/>
        <v>380</v>
      </c>
      <c r="D23" s="4">
        <f t="shared" si="1"/>
        <v>5</v>
      </c>
      <c r="E23" s="4">
        <f t="shared" si="2"/>
        <v>8</v>
      </c>
      <c r="H23" t="s">
        <v>17</v>
      </c>
      <c r="I23">
        <f>SUM(Table26[Actual Effort Value])</f>
        <v>18</v>
      </c>
    </row>
    <row r="24" spans="1:9" x14ac:dyDescent="0.25">
      <c r="A24" s="5" t="s">
        <v>49</v>
      </c>
      <c r="B24" s="6">
        <f t="shared" si="3"/>
        <v>120</v>
      </c>
      <c r="C24" s="6">
        <f t="shared" si="0"/>
        <v>200</v>
      </c>
      <c r="D24" s="6">
        <f t="shared" si="1"/>
        <v>3</v>
      </c>
      <c r="E24" s="6">
        <f t="shared" si="2"/>
        <v>5</v>
      </c>
    </row>
    <row r="25" spans="1:9" x14ac:dyDescent="0.25">
      <c r="A25" s="3" t="s">
        <v>50</v>
      </c>
      <c r="B25" s="4">
        <f t="shared" si="3"/>
        <v>120</v>
      </c>
      <c r="C25" s="4">
        <f t="shared" si="0"/>
        <v>200</v>
      </c>
      <c r="D25" s="4">
        <f t="shared" si="1"/>
        <v>3</v>
      </c>
      <c r="E25" s="4">
        <f t="shared" si="2"/>
        <v>5</v>
      </c>
    </row>
    <row r="26" spans="1:9" x14ac:dyDescent="0.25">
      <c r="A26" s="5" t="s">
        <v>51</v>
      </c>
      <c r="B26" s="6">
        <f t="shared" si="3"/>
        <v>120</v>
      </c>
      <c r="C26" s="6">
        <f t="shared" si="0"/>
        <v>200</v>
      </c>
      <c r="D26" s="6">
        <f t="shared" si="1"/>
        <v>3</v>
      </c>
      <c r="E26" s="6">
        <f t="shared" si="2"/>
        <v>5</v>
      </c>
    </row>
    <row r="27" spans="1:9" x14ac:dyDescent="0.25">
      <c r="A27" s="21" t="s">
        <v>52</v>
      </c>
      <c r="B27" s="22">
        <f t="shared" si="3"/>
        <v>0</v>
      </c>
      <c r="C27" s="22">
        <f t="shared" si="0"/>
        <v>0</v>
      </c>
      <c r="D27" s="22">
        <f t="shared" si="1"/>
        <v>0</v>
      </c>
      <c r="E27" s="22">
        <f t="shared" si="2"/>
        <v>0</v>
      </c>
    </row>
    <row r="28" spans="1:9" x14ac:dyDescent="0.25">
      <c r="A28" s="19"/>
      <c r="B28" s="20"/>
      <c r="C28" s="20"/>
      <c r="D28" s="20"/>
      <c r="E28" s="20"/>
    </row>
    <row r="29" spans="1:9" x14ac:dyDescent="0.25">
      <c r="A29" s="17"/>
      <c r="B29" s="18"/>
      <c r="C29" s="18"/>
      <c r="D29" s="18"/>
      <c r="E29" s="18"/>
    </row>
    <row r="30" spans="1:9" x14ac:dyDescent="0.25">
      <c r="A30" s="19"/>
      <c r="B30" s="20"/>
      <c r="C30" s="20"/>
      <c r="D30" s="20"/>
      <c r="E30" s="20"/>
    </row>
    <row r="31" spans="1:9" x14ac:dyDescent="0.25">
      <c r="A31" s="20"/>
      <c r="B31" s="20"/>
      <c r="C31" s="20"/>
      <c r="D31" s="20"/>
      <c r="E31" s="20"/>
    </row>
  </sheetData>
  <conditionalFormatting sqref="F3:F9">
    <cfRule type="cellIs" dxfId="4" priority="1" operator="equal">
      <formula>"Moved to Next Sprint"</formula>
    </cfRule>
    <cfRule type="cellIs" dxfId="3" priority="2" operator="equal">
      <formula>"Scrapped"</formula>
    </cfRule>
    <cfRule type="cellIs" dxfId="2" priority="3" operator="equal">
      <formula>"In progress"</formula>
    </cfRule>
    <cfRule type="cellIs" dxfId="1" priority="4" operator="equal">
      <formula>"Yes"</formula>
    </cfRule>
    <cfRule type="cellIs" dxfId="0" priority="5" operator="equal">
      <formula>"No"</formula>
    </cfRule>
  </conditionalFormatting>
  <dataValidations count="1">
    <dataValidation type="list" allowBlank="1" showInputMessage="1" showErrorMessage="1" sqref="F3:F9" xr:uid="{1786B4B4-6ABC-4FF5-9996-FF69D05509C9}">
      <formula1>"Yes, No, In Progress, Scrapped, Moved to Next Sprint"</formula1>
    </dataValidation>
  </dataValidations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BF76585360BE4BB8D976A1E44FFC30" ma:contentTypeVersion="18" ma:contentTypeDescription="Create a new document." ma:contentTypeScope="" ma:versionID="7c59910c12023bee1b27b186e223e50d">
  <xsd:schema xmlns:xsd="http://www.w3.org/2001/XMLSchema" xmlns:xs="http://www.w3.org/2001/XMLSchema" xmlns:p="http://schemas.microsoft.com/office/2006/metadata/properties" xmlns:ns2="45c0638f-8904-45ab-b124-b1f7ff451179" xmlns:ns3="ac1d6235-51e3-4a29-8ef4-963eeebbd849" targetNamespace="http://schemas.microsoft.com/office/2006/metadata/properties" ma:root="true" ma:fieldsID="165ca278d637240406c07d5ce241e246" ns2:_="" ns3:_="">
    <xsd:import namespace="45c0638f-8904-45ab-b124-b1f7ff451179"/>
    <xsd:import namespace="ac1d6235-51e3-4a29-8ef4-963eeebbd84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Topics" minOccurs="0"/>
                <xsd:element ref="ns2:MediaServiceLocation" minOccurs="0"/>
                <xsd:element ref="ns2:MediaServiceSearchProperties" minOccurs="0"/>
                <xsd:element ref="ns2:MediaServiceBillingMetadata" minOccurs="0"/>
                <xsd:element ref="ns2: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c0638f-8904-45ab-b124-b1f7ff45117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9151cd1a-81c0-4f7e-8bca-7c9d41dcf3f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Topics" ma:index="21" nillable="true" ma:displayName="Topics" ma:format="Dropdown" ma:internalName="Topics">
      <xsd:simpleType>
        <xsd:restriction base="dms:Text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  <xsd:element name="Details" ma:index="25" nillable="true" ma:displayName="Details" ma:format="Dropdown" ma:internalName="Details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1d6235-51e3-4a29-8ef4-963eeebbd849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3edadf58-48e6-41c9-9b5a-4b8859450888}" ma:internalName="TaxCatchAll" ma:showField="CatchAllData" ma:web="ac1d6235-51e3-4a29-8ef4-963eeebbd84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opics xmlns="45c0638f-8904-45ab-b124-b1f7ff451179" xsi:nil="true"/>
    <TaxCatchAll xmlns="ac1d6235-51e3-4a29-8ef4-963eeebbd849" xsi:nil="true"/>
    <Details xmlns="45c0638f-8904-45ab-b124-b1f7ff451179" xsi:nil="true"/>
    <lcf76f155ced4ddcb4097134ff3c332f xmlns="45c0638f-8904-45ab-b124-b1f7ff45117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24E246D-DC61-4A6B-B68E-FDF11C4F9FA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366E449-544A-4EDD-AE89-6ED564F315AF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1EB853EB-B8A3-426E-8D4C-D2F63DA8D12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5c0638f-8904-45ab-b124-b1f7ff451179"/>
    <ds:schemaRef ds:uri="ac1d6235-51e3-4a29-8ef4-963eeebbd84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20BE11CF-7D05-43B2-ACCA-4685162A0919}">
  <ds:schemaRefs>
    <ds:schemaRef ds:uri="http://schemas.microsoft.com/office/2006/metadata/properties"/>
    <ds:schemaRef ds:uri="http://schemas.microsoft.com/office/infopath/2007/PartnerControls"/>
    <ds:schemaRef ds:uri="45c0638f-8904-45ab-b124-b1f7ff451179"/>
    <ds:schemaRef ds:uri="ac1d6235-51e3-4a29-8ef4-963eeebbd84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Product Backlog</vt:lpstr>
      <vt:lpstr>Sprint 1</vt:lpstr>
      <vt:lpstr>Sprint 2</vt:lpstr>
      <vt:lpstr>Sprint 3</vt:lpstr>
      <vt:lpstr>Sprint 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Luke Barsby</dc:creator>
  <cp:keywords/>
  <dc:description/>
  <cp:lastModifiedBy>Edgar Pereira</cp:lastModifiedBy>
  <cp:revision/>
  <dcterms:created xsi:type="dcterms:W3CDTF">2026-02-27T16:31:19Z</dcterms:created>
  <dcterms:modified xsi:type="dcterms:W3CDTF">2026-03-27T12:34:58Z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0x010100F3BF76585360BE4BB8D976A1E44FFC30</vt:lpwstr>
  </property>
  <property fmtid="{D5CDD505-2E9C-101B-9397-08002B2CF9AE}" pid="3" name="MediaServiceImageTags">
    <vt:lpwstr/>
  </property>
</Properties>
</file>