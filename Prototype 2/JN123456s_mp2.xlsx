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tables/table3.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tables/table4.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tables/table5.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edgar\OneDrive\Documents\GitHub\Game_Prototyping\Prototype 2\"/>
    </mc:Choice>
  </mc:AlternateContent>
  <xr:revisionPtr revIDLastSave="0" documentId="13_ncr:1_{7D3A725B-1FA6-4A2E-8233-C1590917898A}" xr6:coauthVersionLast="47" xr6:coauthVersionMax="47" xr10:uidLastSave="{00000000-0000-0000-0000-000000000000}"/>
  <bookViews>
    <workbookView xWindow="-98" yWindow="-98" windowWidth="38896" windowHeight="15675" xr2:uid="{D1746064-B435-410F-9CFB-E05465D7C6D5}"/>
  </bookViews>
  <sheets>
    <sheet name="Product Backlog" sheetId="1" r:id="rId1"/>
    <sheet name="Sprint 1" sheetId="2" r:id="rId2"/>
    <sheet name="Sprint 2" sheetId="3" r:id="rId3"/>
    <sheet name="Sprint 3" sheetId="4" r:id="rId4"/>
    <sheet name="Sprint 4"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 i="1" l="1"/>
  <c r="C40" i="1" s="1"/>
  <c r="C41" i="1" s="1"/>
  <c r="C42" i="1" s="1"/>
  <c r="C43" i="1" s="1"/>
  <c r="C44" i="1" s="1"/>
  <c r="C45" i="1" s="1"/>
  <c r="C46" i="1" s="1"/>
  <c r="C47" i="1" s="1"/>
  <c r="C48" i="1" s="1"/>
  <c r="C49" i="1" s="1"/>
  <c r="C50" i="1" s="1"/>
  <c r="C51" i="1" s="1"/>
  <c r="C52" i="1" s="1"/>
  <c r="C53" i="1" s="1"/>
  <c r="C54" i="1" s="1"/>
  <c r="C55" i="1" s="1"/>
  <c r="C56" i="1" s="1"/>
  <c r="C57" i="1" s="1"/>
  <c r="C58" i="1" s="1"/>
  <c r="K4" i="1"/>
  <c r="B40" i="1" s="1"/>
  <c r="B41" i="1" s="1"/>
  <c r="B42" i="1" s="1"/>
  <c r="B43" i="1" s="1"/>
  <c r="B44" i="1" s="1"/>
  <c r="B45" i="1" s="1"/>
  <c r="B46" i="1" s="1"/>
  <c r="B47" i="1" s="1"/>
  <c r="B48" i="1" s="1"/>
  <c r="B49" i="1" s="1"/>
  <c r="B50" i="1" s="1"/>
  <c r="B51" i="1" s="1"/>
  <c r="B52" i="1" s="1"/>
  <c r="B53" i="1" s="1"/>
  <c r="B54" i="1" s="1"/>
  <c r="B55" i="1" s="1"/>
  <c r="B56" i="1" s="1"/>
  <c r="B57" i="1" s="1"/>
  <c r="B58" i="1" s="1"/>
  <c r="B59" i="1" s="1"/>
  <c r="B60" i="1" s="1"/>
  <c r="B61" i="1" s="1"/>
  <c r="B62" i="1" s="1"/>
  <c r="B63" i="1" s="1"/>
  <c r="B64" i="1" s="1"/>
  <c r="B65" i="1" s="1"/>
  <c r="B66" i="1" s="1"/>
  <c r="B21" i="5"/>
  <c r="B22" i="5" s="1"/>
  <c r="B23" i="5" s="1"/>
  <c r="B24" i="5" s="1"/>
  <c r="B25" i="5" s="1"/>
  <c r="B26" i="5" s="1"/>
  <c r="B27" i="5" s="1"/>
  <c r="B20" i="5"/>
  <c r="I23" i="5"/>
  <c r="E20" i="5" s="1"/>
  <c r="E21" i="5" s="1"/>
  <c r="E22" i="5" s="1"/>
  <c r="E23" i="5" s="1"/>
  <c r="E24" i="5" s="1"/>
  <c r="E25" i="5" s="1"/>
  <c r="E26" i="5" s="1"/>
  <c r="E27" i="5" s="1"/>
  <c r="I22" i="5"/>
  <c r="D20" i="5" s="1"/>
  <c r="D21" i="5" s="1"/>
  <c r="D22" i="5" s="1"/>
  <c r="D23" i="5" s="1"/>
  <c r="D24" i="5" s="1"/>
  <c r="D25" i="5" s="1"/>
  <c r="D26" i="5" s="1"/>
  <c r="D27" i="5" s="1"/>
  <c r="I20" i="5"/>
  <c r="C20" i="5" s="1"/>
  <c r="C21" i="5" s="1"/>
  <c r="C22" i="5" s="1"/>
  <c r="C23" i="5" s="1"/>
  <c r="C24" i="5" s="1"/>
  <c r="C25" i="5" s="1"/>
  <c r="C26" i="5" s="1"/>
  <c r="C27" i="5" s="1"/>
  <c r="I19" i="5"/>
  <c r="I23" i="4"/>
  <c r="E20" i="4" s="1"/>
  <c r="E21" i="4" s="1"/>
  <c r="E22" i="4" s="1"/>
  <c r="E23" i="4" s="1"/>
  <c r="I22" i="4"/>
  <c r="D20" i="4" s="1"/>
  <c r="D21" i="4" s="1"/>
  <c r="D22" i="4" s="1"/>
  <c r="D23" i="4" s="1"/>
  <c r="I20" i="4"/>
  <c r="C20" i="4" s="1"/>
  <c r="C21" i="4" s="1"/>
  <c r="C22" i="4" s="1"/>
  <c r="C23" i="4" s="1"/>
  <c r="I19" i="4"/>
  <c r="B20" i="4" s="1"/>
  <c r="I23" i="3"/>
  <c r="E20" i="3" s="1"/>
  <c r="I22" i="3"/>
  <c r="D20" i="3" s="1"/>
  <c r="D21" i="3" s="1"/>
  <c r="D22" i="3" s="1"/>
  <c r="D23" i="3" s="1"/>
  <c r="D24" i="3" s="1"/>
  <c r="D25" i="3" s="1"/>
  <c r="D26" i="3" s="1"/>
  <c r="D27" i="3" s="1"/>
  <c r="I20" i="3"/>
  <c r="C20" i="3" s="1"/>
  <c r="C21" i="3" s="1"/>
  <c r="C22" i="3" s="1"/>
  <c r="C23" i="3" s="1"/>
  <c r="C24" i="3" s="1"/>
  <c r="C25" i="3" s="1"/>
  <c r="C26" i="3" s="1"/>
  <c r="C27" i="3" s="1"/>
  <c r="I19" i="3"/>
  <c r="B20" i="3" s="1"/>
  <c r="B21" i="3" s="1"/>
  <c r="B22" i="3" s="1"/>
  <c r="B23" i="3" s="1"/>
  <c r="B24" i="3" s="1"/>
  <c r="B25" i="3" s="1"/>
  <c r="B26" i="3" s="1"/>
  <c r="B27" i="3" s="1"/>
  <c r="I23" i="2"/>
  <c r="E20" i="2" s="1"/>
  <c r="E21" i="2" s="1"/>
  <c r="E22" i="2" s="1"/>
  <c r="I22" i="2"/>
  <c r="D20" i="2" s="1"/>
  <c r="D21" i="2" s="1"/>
  <c r="D22" i="2" s="1"/>
  <c r="D23" i="2" s="1"/>
  <c r="D24" i="2" s="1"/>
  <c r="D25" i="2" s="1"/>
  <c r="D26" i="2" s="1"/>
  <c r="D27" i="2" s="1"/>
  <c r="D28" i="2" s="1"/>
  <c r="I20" i="2"/>
  <c r="C20" i="2" s="1"/>
  <c r="C21" i="2" s="1"/>
  <c r="C22" i="2" s="1"/>
  <c r="C23" i="2" s="1"/>
  <c r="C24" i="2" s="1"/>
  <c r="C25" i="2" s="1"/>
  <c r="C26" i="2" s="1"/>
  <c r="C27" i="2" s="1"/>
  <c r="C28" i="2" s="1"/>
  <c r="I19" i="2"/>
  <c r="B21" i="2" s="1"/>
  <c r="B22" i="2" s="1"/>
  <c r="B23" i="2" s="1"/>
  <c r="B24" i="2" s="1"/>
  <c r="B25" i="2" s="1"/>
  <c r="B26" i="2" s="1"/>
  <c r="B27" i="2" s="1"/>
  <c r="B28" i="2" s="1"/>
  <c r="K8" i="1"/>
  <c r="E40" i="1" s="1"/>
  <c r="E41" i="1" s="1"/>
  <c r="E42" i="1" s="1"/>
  <c r="E43" i="1" s="1"/>
  <c r="E44" i="1" s="1"/>
  <c r="E45" i="1" s="1"/>
  <c r="E46" i="1" s="1"/>
  <c r="E47" i="1" s="1"/>
  <c r="E48" i="1" s="1"/>
  <c r="E49" i="1" s="1"/>
  <c r="E50" i="1" s="1"/>
  <c r="E51" i="1" s="1"/>
  <c r="E52" i="1" s="1"/>
  <c r="E53" i="1" s="1"/>
  <c r="E54" i="1" s="1"/>
  <c r="E55" i="1" s="1"/>
  <c r="E56" i="1" s="1"/>
  <c r="E57" i="1" s="1"/>
  <c r="E58" i="1" s="1"/>
  <c r="E59" i="1" s="1"/>
  <c r="E60" i="1" s="1"/>
  <c r="E61" i="1" s="1"/>
  <c r="E62" i="1" s="1"/>
  <c r="E63" i="1" s="1"/>
  <c r="E64" i="1" s="1"/>
  <c r="E65" i="1" s="1"/>
  <c r="E66" i="1" s="1"/>
  <c r="K7" i="1"/>
  <c r="D40" i="1" s="1"/>
  <c r="D41" i="1" s="1"/>
  <c r="D42" i="1" s="1"/>
  <c r="D43" i="1" s="1"/>
  <c r="D44" i="1" s="1"/>
  <c r="D45" i="1" s="1"/>
  <c r="D46" i="1" s="1"/>
  <c r="D47" i="1" s="1"/>
  <c r="D48" i="1" s="1"/>
  <c r="D49" i="1" s="1"/>
  <c r="D50" i="1" s="1"/>
  <c r="D51" i="1" s="1"/>
  <c r="D52" i="1" s="1"/>
  <c r="D53" i="1" s="1"/>
  <c r="D54" i="1" s="1"/>
  <c r="D55" i="1" s="1"/>
  <c r="D56" i="1" s="1"/>
  <c r="D57" i="1" s="1"/>
  <c r="D58" i="1" s="1"/>
  <c r="D59" i="1" s="1"/>
  <c r="D60" i="1" s="1"/>
  <c r="D61" i="1" s="1"/>
  <c r="D62" i="1" s="1"/>
  <c r="D63" i="1" s="1"/>
  <c r="D64" i="1" s="1"/>
  <c r="D65" i="1" s="1"/>
  <c r="D66" i="1" s="1"/>
  <c r="B21" i="4" l="1"/>
  <c r="B22" i="4" s="1"/>
  <c r="B23" i="4" s="1"/>
  <c r="E23" i="2"/>
  <c r="E24" i="2" s="1"/>
  <c r="E25" i="2" s="1"/>
  <c r="E26" i="2" s="1"/>
  <c r="E27" i="2" s="1"/>
  <c r="E28" i="2" s="1"/>
  <c r="B20" i="2"/>
  <c r="C59" i="1"/>
  <c r="C60" i="1" s="1"/>
  <c r="C61" i="1" s="1"/>
  <c r="C62" i="1" s="1"/>
  <c r="C63" i="1" s="1"/>
  <c r="C64" i="1" s="1"/>
  <c r="C65" i="1" s="1"/>
  <c r="C66" i="1" s="1"/>
  <c r="E21" i="3"/>
  <c r="E22" i="3" s="1"/>
  <c r="E23" i="3" s="1"/>
  <c r="E24" i="3" s="1"/>
  <c r="E25" i="3" s="1"/>
  <c r="E26" i="3" s="1"/>
  <c r="E27" i="3" s="1"/>
</calcChain>
</file>

<file path=xl/sharedStrings.xml><?xml version="1.0" encoding="utf-8"?>
<sst xmlns="http://schemas.openxmlformats.org/spreadsheetml/2006/main" count="268" uniqueCount="59">
  <si>
    <t>Task</t>
  </si>
  <si>
    <t>Expected Completion Time</t>
  </si>
  <si>
    <t>Expected Effort Value</t>
  </si>
  <si>
    <t>Actual Completion Time</t>
  </si>
  <si>
    <t>Actual Effort Value</t>
  </si>
  <si>
    <t>Completed?</t>
  </si>
  <si>
    <t>Notes</t>
  </si>
  <si>
    <t>Create Unity project</t>
  </si>
  <si>
    <t>Download design document Template</t>
  </si>
  <si>
    <t xml:space="preserve">Estimated time taken to complete project: </t>
  </si>
  <si>
    <t>Actual time taken to compelte project:</t>
  </si>
  <si>
    <t>Estimated effort to complete project:</t>
  </si>
  <si>
    <t>Actual effort to complete project:</t>
  </si>
  <si>
    <t>Sprint 1</t>
  </si>
  <si>
    <t xml:space="preserve">Estimated time taken to complete sprint: </t>
  </si>
  <si>
    <t>Actual time taken to compelte sprint:</t>
  </si>
  <si>
    <t>Estimated effort to complete sprint:</t>
  </si>
  <si>
    <t>Actual effort to complete sprint:</t>
  </si>
  <si>
    <t>Sprint 2</t>
  </si>
  <si>
    <t>Sprint 3</t>
  </si>
  <si>
    <t>Sprint 4</t>
  </si>
  <si>
    <t>Yes</t>
  </si>
  <si>
    <t>Create a Player with physics</t>
  </si>
  <si>
    <t xml:space="preserve">Create a death sequence </t>
  </si>
  <si>
    <t xml:space="preserve">Create a mechanic </t>
  </si>
  <si>
    <t>In Progress</t>
  </si>
  <si>
    <t>Scrapped</t>
  </si>
  <si>
    <t>post processing effects</t>
  </si>
  <si>
    <t>pause menu</t>
  </si>
  <si>
    <t>Moved to Next Sprint</t>
  </si>
  <si>
    <t>Mins</t>
  </si>
  <si>
    <t>EST Time</t>
  </si>
  <si>
    <t>Burndown Chart</t>
  </si>
  <si>
    <t>Actual Time</t>
  </si>
  <si>
    <t>EST Effort</t>
  </si>
  <si>
    <t>Actual Effort</t>
  </si>
  <si>
    <t>Starting Values</t>
  </si>
  <si>
    <t>Rolling orb movement</t>
  </si>
  <si>
    <t>Camera follow system</t>
  </si>
  <si>
    <t>Procedural dune generation</t>
  </si>
  <si>
    <t>Score system</t>
  </si>
  <si>
    <t xml:space="preserve">Infinite terrain generation </t>
  </si>
  <si>
    <t>UI Setup</t>
  </si>
  <si>
    <t>Test moving floor system</t>
  </si>
  <si>
    <t>Fix tessellation errors</t>
  </si>
  <si>
    <t>Treadmill idea</t>
  </si>
  <si>
    <t>Main Menu</t>
  </si>
  <si>
    <t>story messages narration</t>
  </si>
  <si>
    <t>lots of balancing</t>
  </si>
  <si>
    <t>UI Bug fixes</t>
  </si>
  <si>
    <t>Music Transitions</t>
  </si>
  <si>
    <t>playtesting</t>
  </si>
  <si>
    <t>documentation</t>
  </si>
  <si>
    <t xml:space="preserve">was still leanring how to do it so I moved it to next week </t>
  </si>
  <si>
    <t>this did not work as it was to complex for me to figure out</t>
  </si>
  <si>
    <t>was able to make it work but never fixed the bugs for it</t>
  </si>
  <si>
    <t>tried to get rid of bugs and made it better but there was still some so I thought it was not worth the time to fix</t>
  </si>
  <si>
    <t xml:space="preserve">was burnt out </t>
  </si>
  <si>
    <t>Done!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</si>
</sst>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0"/>
      <name val="Aptos Narrow"/>
      <family val="2"/>
      <scheme val="minor"/>
    </font>
    <font>
      <b/>
      <sz val="11"/>
      <color theme="1"/>
      <name val="Aptos Narrow"/>
      <family val="2"/>
      <scheme val="minor"/>
    </font>
  </fonts>
  <fills count="8">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4"/>
        <bgColor theme="4" tint="0.79998168889431442"/>
      </patternFill>
    </fill>
    <fill>
      <patternFill patternType="solid">
        <fgColor theme="0"/>
        <bgColor theme="4" tint="0.79998168889431442"/>
      </patternFill>
    </fill>
    <fill>
      <patternFill patternType="solid">
        <fgColor theme="0"/>
        <bgColor indexed="64"/>
      </patternFill>
    </fill>
    <fill>
      <patternFill patternType="solid">
        <fgColor theme="4" tint="0.79998168889431442"/>
        <bgColor indexed="64"/>
      </patternFill>
    </fill>
  </fills>
  <borders count="8">
    <border>
      <left/>
      <right/>
      <top/>
      <bottom/>
      <diagonal/>
    </border>
    <border>
      <left style="thin">
        <color theme="4" tint="0.39997558519241921"/>
      </left>
      <right/>
      <top/>
      <bottom style="thin">
        <color theme="4" tint="0.39997558519241921"/>
      </bottom>
      <diagonal/>
    </border>
    <border>
      <left/>
      <right/>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style="thin">
        <color theme="4" tint="0.39997558519241921"/>
      </left>
      <right/>
      <top/>
      <bottom/>
      <diagonal/>
    </border>
  </borders>
  <cellStyleXfs count="1">
    <xf numFmtId="0" fontId="0" fillId="0" borderId="0"/>
  </cellStyleXfs>
  <cellXfs count="29">
    <xf numFmtId="0" fontId="0" fillId="0" borderId="0" xfId="0"/>
    <xf numFmtId="0" fontId="1" fillId="2" borderId="1" xfId="0" applyFont="1" applyFill="1" applyBorder="1"/>
    <xf numFmtId="0" fontId="1" fillId="2" borderId="2" xfId="0" applyFont="1" applyFill="1" applyBorder="1"/>
    <xf numFmtId="0" fontId="0" fillId="3" borderId="3" xfId="0" applyFill="1" applyBorder="1"/>
    <xf numFmtId="0" fontId="0" fillId="3" borderId="5" xfId="0" applyFill="1" applyBorder="1"/>
    <xf numFmtId="0" fontId="0" fillId="0" borderId="3" xfId="0" applyBorder="1"/>
    <xf numFmtId="0" fontId="0" fillId="0" borderId="5" xfId="0" applyBorder="1"/>
    <xf numFmtId="0" fontId="2" fillId="3" borderId="3" xfId="0" applyFont="1" applyFill="1" applyBorder="1"/>
    <xf numFmtId="0" fontId="2" fillId="3" borderId="5" xfId="0" applyFont="1" applyFill="1" applyBorder="1"/>
    <xf numFmtId="0" fontId="1" fillId="4" borderId="5" xfId="0" applyFont="1" applyFill="1" applyBorder="1"/>
    <xf numFmtId="0" fontId="1" fillId="4" borderId="3" xfId="0" applyFont="1" applyFill="1" applyBorder="1"/>
    <xf numFmtId="0" fontId="2" fillId="0" borderId="3" xfId="0" applyFont="1" applyBorder="1"/>
    <xf numFmtId="0" fontId="0" fillId="0" borderId="4" xfId="0" applyBorder="1"/>
    <xf numFmtId="0" fontId="2" fillId="0" borderId="0" xfId="0" applyFont="1"/>
    <xf numFmtId="0" fontId="0" fillId="0" borderId="6" xfId="0" applyBorder="1"/>
    <xf numFmtId="0" fontId="2" fillId="0" borderId="5" xfId="0" applyFont="1" applyBorder="1"/>
    <xf numFmtId="0" fontId="2" fillId="0" borderId="7" xfId="0" applyFont="1" applyBorder="1"/>
    <xf numFmtId="0" fontId="2" fillId="5" borderId="0" xfId="0" applyFont="1" applyFill="1"/>
    <xf numFmtId="0" fontId="0" fillId="5" borderId="0" xfId="0" applyFill="1"/>
    <xf numFmtId="0" fontId="2" fillId="6" borderId="0" xfId="0" applyFont="1" applyFill="1"/>
    <xf numFmtId="0" fontId="0" fillId="6" borderId="0" xfId="0" applyFill="1"/>
    <xf numFmtId="0" fontId="0" fillId="3" borderId="4" xfId="0" applyFill="1" applyBorder="1"/>
    <xf numFmtId="0" fontId="0" fillId="3" borderId="3" xfId="0" applyFont="1" applyFill="1" applyBorder="1"/>
    <xf numFmtId="0" fontId="0" fillId="0" borderId="3" xfId="0" applyFont="1" applyBorder="1"/>
    <xf numFmtId="0" fontId="0" fillId="5" borderId="0" xfId="0" applyFill="1" applyBorder="1"/>
    <xf numFmtId="0" fontId="0" fillId="6" borderId="0" xfId="0" applyFill="1" applyBorder="1"/>
    <xf numFmtId="0" fontId="0" fillId="7" borderId="0" xfId="0" applyFill="1" applyBorder="1"/>
    <xf numFmtId="0" fontId="0" fillId="3" borderId="6" xfId="0" applyFont="1" applyFill="1" applyBorder="1"/>
    <xf numFmtId="0" fontId="0" fillId="0" borderId="6" xfId="0" applyFont="1" applyBorder="1"/>
  </cellXfs>
  <cellStyles count="1">
    <cellStyle name="Normal" xfId="0" builtinId="0"/>
  </cellStyles>
  <dxfs count="57">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dxf>
    <dxf>
      <border>
        <left style="thin">
          <color rgb="FF9C0006"/>
        </left>
        <right style="thin">
          <color rgb="FF9C0006"/>
        </right>
        <top style="thin">
          <color rgb="FF9C0006"/>
        </top>
        <bottom style="thin">
          <color rgb="FF9C0006"/>
        </bottom>
      </border>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dxf>
    <dxf>
      <border>
        <left style="thin">
          <color rgb="FF9C0006"/>
        </left>
        <right style="thin">
          <color rgb="FF9C0006"/>
        </right>
        <top style="thin">
          <color rgb="FF9C0006"/>
        </top>
        <bottom style="thin">
          <color rgb="FF9C0006"/>
        </bottom>
      </border>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dxf>
    <dxf>
      <border>
        <left style="thin">
          <color rgb="FF9C0006"/>
        </left>
        <right style="thin">
          <color rgb="FF9C0006"/>
        </right>
        <top style="thin">
          <color rgb="FF9C0006"/>
        </top>
        <bottom style="thin">
          <color rgb="FF9C0006"/>
        </bottom>
      </border>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dxf>
    <dxf>
      <border>
        <left style="thin">
          <color rgb="FF9C0006"/>
        </left>
        <right style="thin">
          <color rgb="FF9C0006"/>
        </right>
        <top style="thin">
          <color rgb="FF9C0006"/>
        </top>
        <bottom style="thin">
          <color rgb="FF9C0006"/>
        </bottom>
      </border>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dxf>
    <dxf>
      <border>
        <left style="thin">
          <color rgb="FF9C0006"/>
        </left>
        <right style="thin">
          <color rgb="FF9C0006"/>
        </right>
        <top style="thin">
          <color rgb="FF9C0006"/>
        </top>
        <bottom style="thin">
          <color rgb="FF9C0006"/>
        </bottom>
      </border>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dxf>
    <dxf>
      <border>
        <left style="thin">
          <color rgb="FF9C0006"/>
        </left>
        <right style="thin">
          <color rgb="FF9C0006"/>
        </right>
        <top style="thin">
          <color rgb="FF9C0006"/>
        </top>
        <bottom style="thin">
          <color rgb="FF9C0006"/>
        </bottom>
      </border>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dxf>
    <dxf>
      <border>
        <left style="thin">
          <color rgb="FF9C0006"/>
        </left>
        <right style="thin">
          <color rgb="FF9C0006"/>
        </right>
        <top style="thin">
          <color rgb="FF9C0006"/>
        </top>
        <bottom style="thin">
          <color rgb="FF9C0006"/>
        </bottom>
      </border>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dxf>
    <dxf>
      <border>
        <left style="thin">
          <color rgb="FF9C0006"/>
        </left>
        <right style="thin">
          <color rgb="FF9C0006"/>
        </right>
        <top style="thin">
          <color rgb="FF9C0006"/>
        </top>
        <bottom style="thin">
          <color rgb="FF9C0006"/>
        </bottom>
      </border>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dxf>
    <dxf>
      <border>
        <left style="thin">
          <color rgb="FF9C0006"/>
        </left>
        <right style="thin">
          <color rgb="FF9C0006"/>
        </right>
        <top style="thin">
          <color rgb="FF9C0006"/>
        </top>
        <bottom style="thin">
          <color rgb="FF9C0006"/>
        </bottom>
      </border>
    </dxf>
    <dxf>
      <border outline="0">
        <top style="thin">
          <color theme="4" tint="0.39997558519241921"/>
        </top>
      </border>
    </dxf>
    <dxf>
      <border outline="0">
        <bottom style="thin">
          <color theme="4" tint="0.39997558519241921"/>
        </bottom>
      </border>
    </dxf>
    <dxf>
      <font>
        <b/>
        <i val="0"/>
        <strike val="0"/>
        <condense val="0"/>
        <extend val="0"/>
        <outline val="0"/>
        <shadow val="0"/>
        <u val="none"/>
        <vertAlign val="baseline"/>
        <sz val="11"/>
        <color theme="0"/>
        <name val="Aptos Narrow"/>
        <family val="2"/>
        <scheme val="minor"/>
      </font>
      <fill>
        <patternFill patternType="solid">
          <fgColor theme="4"/>
          <bgColor theme="4"/>
        </patternFill>
      </fill>
    </dxf>
    <dxf>
      <border outline="0">
        <top style="thin">
          <color theme="4" tint="0.39997558519241921"/>
        </top>
      </border>
    </dxf>
    <dxf>
      <border outline="0">
        <bottom style="thin">
          <color theme="4" tint="0.39997558519241921"/>
        </bottom>
      </border>
    </dxf>
    <dxf>
      <font>
        <b/>
        <i val="0"/>
        <strike val="0"/>
        <condense val="0"/>
        <extend val="0"/>
        <outline val="0"/>
        <shadow val="0"/>
        <u val="none"/>
        <vertAlign val="baseline"/>
        <sz val="11"/>
        <color theme="0"/>
        <name val="Aptos Narrow"/>
        <family val="2"/>
        <scheme val="minor"/>
      </font>
      <fill>
        <patternFill patternType="solid">
          <fgColor theme="4"/>
          <bgColor theme="4"/>
        </patternFill>
      </fill>
    </dxf>
    <dxf>
      <border outline="0">
        <top style="thin">
          <color theme="4" tint="0.39997558519241921"/>
        </top>
      </border>
    </dxf>
    <dxf>
      <border outline="0">
        <bottom style="thin">
          <color theme="4" tint="0.39997558519241921"/>
        </bottom>
      </border>
    </dxf>
    <dxf>
      <font>
        <b/>
        <i val="0"/>
        <strike val="0"/>
        <condense val="0"/>
        <extend val="0"/>
        <outline val="0"/>
        <shadow val="0"/>
        <u val="none"/>
        <vertAlign val="baseline"/>
        <sz val="11"/>
        <color theme="0"/>
        <name val="Aptos Narrow"/>
        <family val="2"/>
        <scheme val="minor"/>
      </font>
      <fill>
        <patternFill patternType="solid">
          <fgColor theme="4"/>
          <bgColor theme="4"/>
        </patternFill>
      </fill>
    </dxf>
    <dxf>
      <border outline="0">
        <top style="thin">
          <color theme="4" tint="0.39997558519241921"/>
        </top>
      </border>
    </dxf>
    <dxf>
      <border outline="0">
        <bottom style="thin">
          <color theme="4" tint="0.39997558519241921"/>
        </bottom>
      </border>
    </dxf>
    <dxf>
      <font>
        <b/>
        <i val="0"/>
        <strike val="0"/>
        <condense val="0"/>
        <extend val="0"/>
        <outline val="0"/>
        <shadow val="0"/>
        <u val="none"/>
        <vertAlign val="baseline"/>
        <sz val="11"/>
        <color theme="0"/>
        <name val="Aptos Narrow"/>
        <family val="2"/>
        <scheme val="minor"/>
      </font>
      <fill>
        <patternFill patternType="solid">
          <fgColor theme="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Time</a:t>
            </a:r>
            <a:r>
              <a:rPr lang="en-GB" baseline="0"/>
              <a:t> Burndown</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lineChart>
        <c:grouping val="standard"/>
        <c:varyColors val="0"/>
        <c:ser>
          <c:idx val="0"/>
          <c:order val="0"/>
          <c:tx>
            <c:strRef>
              <c:f>'Sprint 1'!$B$19</c:f>
              <c:strCache>
                <c:ptCount val="1"/>
                <c:pt idx="0">
                  <c:v>EST Time</c:v>
                </c:pt>
              </c:strCache>
            </c:strRef>
          </c:tx>
          <c:spPr>
            <a:ln w="28575" cap="rnd">
              <a:solidFill>
                <a:schemeClr val="accent1"/>
              </a:solidFill>
              <a:round/>
            </a:ln>
            <a:effectLst/>
          </c:spPr>
          <c:marker>
            <c:symbol val="none"/>
          </c:marker>
          <c:val>
            <c:numRef>
              <c:f>'Sprint 1'!$B$20:$B$30</c:f>
              <c:numCache>
                <c:formatCode>General</c:formatCode>
                <c:ptCount val="11"/>
                <c:pt idx="0">
                  <c:v>1050</c:v>
                </c:pt>
                <c:pt idx="1">
                  <c:v>1035</c:v>
                </c:pt>
                <c:pt idx="2">
                  <c:v>1020</c:v>
                </c:pt>
                <c:pt idx="3">
                  <c:v>1005</c:v>
                </c:pt>
                <c:pt idx="4">
                  <c:v>990</c:v>
                </c:pt>
                <c:pt idx="5">
                  <c:v>960</c:v>
                </c:pt>
                <c:pt idx="6">
                  <c:v>930</c:v>
                </c:pt>
                <c:pt idx="7">
                  <c:v>900</c:v>
                </c:pt>
                <c:pt idx="8">
                  <c:v>400</c:v>
                </c:pt>
              </c:numCache>
            </c:numRef>
          </c:val>
          <c:smooth val="0"/>
          <c:extLst>
            <c:ext xmlns:c16="http://schemas.microsoft.com/office/drawing/2014/chart" uri="{C3380CC4-5D6E-409C-BE32-E72D297353CC}">
              <c16:uniqueId val="{00000000-588C-4DB5-B264-92D4064050D4}"/>
            </c:ext>
          </c:extLst>
        </c:ser>
        <c:ser>
          <c:idx val="1"/>
          <c:order val="1"/>
          <c:tx>
            <c:strRef>
              <c:f>'Sprint 1'!$C$19</c:f>
              <c:strCache>
                <c:ptCount val="1"/>
                <c:pt idx="0">
                  <c:v>Actual Time</c:v>
                </c:pt>
              </c:strCache>
            </c:strRef>
          </c:tx>
          <c:spPr>
            <a:ln w="28575" cap="rnd">
              <a:solidFill>
                <a:schemeClr val="accent2"/>
              </a:solidFill>
              <a:round/>
            </a:ln>
            <a:effectLst/>
          </c:spPr>
          <c:marker>
            <c:symbol val="none"/>
          </c:marker>
          <c:val>
            <c:numRef>
              <c:f>'Sprint 1'!$C$20:$C$30</c:f>
              <c:numCache>
                <c:formatCode>General</c:formatCode>
                <c:ptCount val="11"/>
                <c:pt idx="0">
                  <c:v>575</c:v>
                </c:pt>
                <c:pt idx="1">
                  <c:v>570</c:v>
                </c:pt>
                <c:pt idx="2">
                  <c:v>565</c:v>
                </c:pt>
                <c:pt idx="3">
                  <c:v>505</c:v>
                </c:pt>
                <c:pt idx="4">
                  <c:v>445</c:v>
                </c:pt>
                <c:pt idx="5">
                  <c:v>300</c:v>
                </c:pt>
                <c:pt idx="6">
                  <c:v>180</c:v>
                </c:pt>
                <c:pt idx="7">
                  <c:v>0</c:v>
                </c:pt>
                <c:pt idx="8">
                  <c:v>0</c:v>
                </c:pt>
              </c:numCache>
            </c:numRef>
          </c:val>
          <c:smooth val="0"/>
          <c:extLst>
            <c:ext xmlns:c16="http://schemas.microsoft.com/office/drawing/2014/chart" uri="{C3380CC4-5D6E-409C-BE32-E72D297353CC}">
              <c16:uniqueId val="{00000001-588C-4DB5-B264-92D4064050D4}"/>
            </c:ext>
          </c:extLst>
        </c:ser>
        <c:dLbls>
          <c:showLegendKey val="0"/>
          <c:showVal val="0"/>
          <c:showCatName val="0"/>
          <c:showSerName val="0"/>
          <c:showPercent val="0"/>
          <c:showBubbleSize val="0"/>
        </c:dLbls>
        <c:smooth val="0"/>
        <c:axId val="2096798816"/>
        <c:axId val="2096796896"/>
      </c:lineChart>
      <c:catAx>
        <c:axId val="209679881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796896"/>
        <c:crosses val="autoZero"/>
        <c:auto val="1"/>
        <c:lblAlgn val="ctr"/>
        <c:lblOffset val="100"/>
        <c:noMultiLvlLbl val="0"/>
      </c:catAx>
      <c:valAx>
        <c:axId val="2096796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798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Effort</a:t>
            </a:r>
            <a:r>
              <a:rPr lang="en-GB" baseline="0"/>
              <a:t> Burndown</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lineChart>
        <c:grouping val="standard"/>
        <c:varyColors val="0"/>
        <c:ser>
          <c:idx val="0"/>
          <c:order val="0"/>
          <c:tx>
            <c:strRef>
              <c:f>'Sprint 1'!$D$19</c:f>
              <c:strCache>
                <c:ptCount val="1"/>
                <c:pt idx="0">
                  <c:v>EST Effort</c:v>
                </c:pt>
              </c:strCache>
            </c:strRef>
          </c:tx>
          <c:spPr>
            <a:ln w="28575" cap="rnd">
              <a:solidFill>
                <a:schemeClr val="accent1"/>
              </a:solidFill>
              <a:round/>
            </a:ln>
            <a:effectLst/>
          </c:spPr>
          <c:marker>
            <c:symbol val="none"/>
          </c:marker>
          <c:val>
            <c:numRef>
              <c:f>'Sprint 1'!$D$20:$D$30</c:f>
              <c:numCache>
                <c:formatCode>General</c:formatCode>
                <c:ptCount val="11"/>
                <c:pt idx="0">
                  <c:v>21</c:v>
                </c:pt>
                <c:pt idx="1">
                  <c:v>20</c:v>
                </c:pt>
                <c:pt idx="2">
                  <c:v>19</c:v>
                </c:pt>
                <c:pt idx="3">
                  <c:v>17</c:v>
                </c:pt>
                <c:pt idx="4">
                  <c:v>16</c:v>
                </c:pt>
                <c:pt idx="5">
                  <c:v>13</c:v>
                </c:pt>
                <c:pt idx="6">
                  <c:v>10</c:v>
                </c:pt>
                <c:pt idx="7">
                  <c:v>6</c:v>
                </c:pt>
                <c:pt idx="8">
                  <c:v>3</c:v>
                </c:pt>
              </c:numCache>
            </c:numRef>
          </c:val>
          <c:smooth val="0"/>
          <c:extLst>
            <c:ext xmlns:c16="http://schemas.microsoft.com/office/drawing/2014/chart" uri="{C3380CC4-5D6E-409C-BE32-E72D297353CC}">
              <c16:uniqueId val="{00000000-9955-4F3E-A2B8-61F6DEAEABE4}"/>
            </c:ext>
          </c:extLst>
        </c:ser>
        <c:ser>
          <c:idx val="1"/>
          <c:order val="1"/>
          <c:tx>
            <c:strRef>
              <c:f>'Sprint 1'!$E$19</c:f>
              <c:strCache>
                <c:ptCount val="1"/>
                <c:pt idx="0">
                  <c:v>Actual Effort</c:v>
                </c:pt>
              </c:strCache>
            </c:strRef>
          </c:tx>
          <c:spPr>
            <a:ln w="28575" cap="rnd">
              <a:solidFill>
                <a:schemeClr val="accent2"/>
              </a:solidFill>
              <a:round/>
            </a:ln>
            <a:effectLst/>
          </c:spPr>
          <c:marker>
            <c:symbol val="none"/>
          </c:marker>
          <c:val>
            <c:numRef>
              <c:f>'Sprint 1'!$E$20:$E$30</c:f>
              <c:numCache>
                <c:formatCode>General</c:formatCode>
                <c:ptCount val="11"/>
                <c:pt idx="0">
                  <c:v>20</c:v>
                </c:pt>
                <c:pt idx="1">
                  <c:v>19</c:v>
                </c:pt>
                <c:pt idx="2">
                  <c:v>18</c:v>
                </c:pt>
                <c:pt idx="3">
                  <c:v>16</c:v>
                </c:pt>
                <c:pt idx="4">
                  <c:v>13</c:v>
                </c:pt>
                <c:pt idx="5">
                  <c:v>9</c:v>
                </c:pt>
                <c:pt idx="6">
                  <c:v>5</c:v>
                </c:pt>
                <c:pt idx="7">
                  <c:v>0</c:v>
                </c:pt>
                <c:pt idx="8">
                  <c:v>0</c:v>
                </c:pt>
              </c:numCache>
            </c:numRef>
          </c:val>
          <c:smooth val="0"/>
          <c:extLst>
            <c:ext xmlns:c16="http://schemas.microsoft.com/office/drawing/2014/chart" uri="{C3380CC4-5D6E-409C-BE32-E72D297353CC}">
              <c16:uniqueId val="{00000001-9955-4F3E-A2B8-61F6DEAEABE4}"/>
            </c:ext>
          </c:extLst>
        </c:ser>
        <c:dLbls>
          <c:showLegendKey val="0"/>
          <c:showVal val="0"/>
          <c:showCatName val="0"/>
          <c:showSerName val="0"/>
          <c:showPercent val="0"/>
          <c:showBubbleSize val="0"/>
        </c:dLbls>
        <c:smooth val="0"/>
        <c:axId val="2129379904"/>
        <c:axId val="2129380384"/>
      </c:lineChart>
      <c:catAx>
        <c:axId val="212937990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9380384"/>
        <c:crosses val="autoZero"/>
        <c:auto val="1"/>
        <c:lblAlgn val="ctr"/>
        <c:lblOffset val="100"/>
        <c:noMultiLvlLbl val="0"/>
      </c:catAx>
      <c:valAx>
        <c:axId val="2129380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93799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Time Burndown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'Sprint 2'!$B$19</c:f>
              <c:strCache>
                <c:ptCount val="1"/>
                <c:pt idx="0">
                  <c:v>EST Time</c:v>
                </c:pt>
              </c:strCache>
            </c:strRef>
          </c:tx>
          <c:spPr>
            <a:ln w="28575" cap="rnd">
              <a:solidFill>
                <a:schemeClr val="accent1"/>
              </a:solidFill>
              <a:round/>
            </a:ln>
            <a:effectLst/>
          </c:spPr>
          <c:marker>
            <c:symbol val="none"/>
          </c:marker>
          <c:val>
            <c:numRef>
              <c:f>'Sprint 2'!$B$20:$B$30</c:f>
              <c:numCache>
                <c:formatCode>General</c:formatCode>
                <c:ptCount val="11"/>
                <c:pt idx="0">
                  <c:v>1855</c:v>
                </c:pt>
                <c:pt idx="1">
                  <c:v>1555</c:v>
                </c:pt>
                <c:pt idx="2">
                  <c:v>1435</c:v>
                </c:pt>
                <c:pt idx="3">
                  <c:v>635</c:v>
                </c:pt>
                <c:pt idx="4">
                  <c:v>620</c:v>
                </c:pt>
                <c:pt idx="5">
                  <c:v>560</c:v>
                </c:pt>
                <c:pt idx="6">
                  <c:v>500</c:v>
                </c:pt>
                <c:pt idx="7">
                  <c:v>0</c:v>
                </c:pt>
              </c:numCache>
            </c:numRef>
          </c:val>
          <c:smooth val="0"/>
          <c:extLst>
            <c:ext xmlns:c16="http://schemas.microsoft.com/office/drawing/2014/chart" uri="{C3380CC4-5D6E-409C-BE32-E72D297353CC}">
              <c16:uniqueId val="{00000000-DCB4-4028-8CE2-7695C7942D5D}"/>
            </c:ext>
          </c:extLst>
        </c:ser>
        <c:ser>
          <c:idx val="1"/>
          <c:order val="1"/>
          <c:tx>
            <c:strRef>
              <c:f>'Sprint 2'!$C$19</c:f>
              <c:strCache>
                <c:ptCount val="1"/>
                <c:pt idx="0">
                  <c:v>Actual Time</c:v>
                </c:pt>
              </c:strCache>
            </c:strRef>
          </c:tx>
          <c:spPr>
            <a:ln w="28575" cap="rnd">
              <a:solidFill>
                <a:schemeClr val="accent2"/>
              </a:solidFill>
              <a:round/>
            </a:ln>
            <a:effectLst/>
          </c:spPr>
          <c:marker>
            <c:symbol val="none"/>
          </c:marker>
          <c:val>
            <c:numRef>
              <c:f>'Sprint 2'!$C$20:$C$30</c:f>
              <c:numCache>
                <c:formatCode>General</c:formatCode>
                <c:ptCount val="11"/>
                <c:pt idx="0">
                  <c:v>2850</c:v>
                </c:pt>
                <c:pt idx="1">
                  <c:v>1350</c:v>
                </c:pt>
                <c:pt idx="2">
                  <c:v>1150</c:v>
                </c:pt>
                <c:pt idx="3">
                  <c:v>150</c:v>
                </c:pt>
                <c:pt idx="4">
                  <c:v>120</c:v>
                </c:pt>
                <c:pt idx="5">
                  <c:v>0</c:v>
                </c:pt>
                <c:pt idx="6">
                  <c:v>0</c:v>
                </c:pt>
                <c:pt idx="7">
                  <c:v>0</c:v>
                </c:pt>
              </c:numCache>
            </c:numRef>
          </c:val>
          <c:smooth val="0"/>
          <c:extLst>
            <c:ext xmlns:c16="http://schemas.microsoft.com/office/drawing/2014/chart" uri="{C3380CC4-5D6E-409C-BE32-E72D297353CC}">
              <c16:uniqueId val="{00000001-DCB4-4028-8CE2-7695C7942D5D}"/>
            </c:ext>
          </c:extLst>
        </c:ser>
        <c:dLbls>
          <c:showLegendKey val="0"/>
          <c:showVal val="0"/>
          <c:showCatName val="0"/>
          <c:showSerName val="0"/>
          <c:showPercent val="0"/>
          <c:showBubbleSize val="0"/>
        </c:dLbls>
        <c:smooth val="0"/>
        <c:axId val="1096124976"/>
        <c:axId val="1096124016"/>
      </c:lineChart>
      <c:catAx>
        <c:axId val="109612497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124016"/>
        <c:crosses val="autoZero"/>
        <c:auto val="1"/>
        <c:lblAlgn val="ctr"/>
        <c:lblOffset val="100"/>
        <c:noMultiLvlLbl val="0"/>
      </c:catAx>
      <c:valAx>
        <c:axId val="1096124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1249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Effort Burndown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'Sprint 2'!$D$19</c:f>
              <c:strCache>
                <c:ptCount val="1"/>
                <c:pt idx="0">
                  <c:v>EST Effort</c:v>
                </c:pt>
              </c:strCache>
            </c:strRef>
          </c:tx>
          <c:spPr>
            <a:ln w="28575" cap="rnd">
              <a:solidFill>
                <a:schemeClr val="accent1"/>
              </a:solidFill>
              <a:round/>
            </a:ln>
            <a:effectLst/>
          </c:spPr>
          <c:marker>
            <c:symbol val="none"/>
          </c:marker>
          <c:val>
            <c:numRef>
              <c:f>'Sprint 2'!$D$20:$D$30</c:f>
              <c:numCache>
                <c:formatCode>General</c:formatCode>
                <c:ptCount val="11"/>
                <c:pt idx="0">
                  <c:v>24</c:v>
                </c:pt>
                <c:pt idx="1">
                  <c:v>20</c:v>
                </c:pt>
                <c:pt idx="2">
                  <c:v>17</c:v>
                </c:pt>
                <c:pt idx="3">
                  <c:v>12</c:v>
                </c:pt>
                <c:pt idx="4">
                  <c:v>10</c:v>
                </c:pt>
                <c:pt idx="5">
                  <c:v>8</c:v>
                </c:pt>
                <c:pt idx="6">
                  <c:v>5</c:v>
                </c:pt>
                <c:pt idx="7">
                  <c:v>0</c:v>
                </c:pt>
              </c:numCache>
            </c:numRef>
          </c:val>
          <c:smooth val="0"/>
          <c:extLst>
            <c:ext xmlns:c16="http://schemas.microsoft.com/office/drawing/2014/chart" uri="{C3380CC4-5D6E-409C-BE32-E72D297353CC}">
              <c16:uniqueId val="{00000000-1133-4CDD-B01B-7949260B63D7}"/>
            </c:ext>
          </c:extLst>
        </c:ser>
        <c:ser>
          <c:idx val="1"/>
          <c:order val="1"/>
          <c:tx>
            <c:strRef>
              <c:f>'Sprint 2'!$E$19</c:f>
              <c:strCache>
                <c:ptCount val="1"/>
                <c:pt idx="0">
                  <c:v>Actual Effort</c:v>
                </c:pt>
              </c:strCache>
            </c:strRef>
          </c:tx>
          <c:spPr>
            <a:ln w="28575" cap="rnd">
              <a:solidFill>
                <a:schemeClr val="accent2"/>
              </a:solidFill>
              <a:round/>
            </a:ln>
            <a:effectLst/>
          </c:spPr>
          <c:marker>
            <c:symbol val="none"/>
          </c:marker>
          <c:val>
            <c:numRef>
              <c:f>'Sprint 2'!$E$20:$E$30</c:f>
              <c:numCache>
                <c:formatCode>General</c:formatCode>
                <c:ptCount val="11"/>
                <c:pt idx="0">
                  <c:v>19</c:v>
                </c:pt>
                <c:pt idx="1">
                  <c:v>14</c:v>
                </c:pt>
                <c:pt idx="2">
                  <c:v>11</c:v>
                </c:pt>
                <c:pt idx="3">
                  <c:v>6</c:v>
                </c:pt>
                <c:pt idx="4">
                  <c:v>3</c:v>
                </c:pt>
                <c:pt idx="5">
                  <c:v>0</c:v>
                </c:pt>
                <c:pt idx="6">
                  <c:v>0</c:v>
                </c:pt>
                <c:pt idx="7">
                  <c:v>0</c:v>
                </c:pt>
              </c:numCache>
            </c:numRef>
          </c:val>
          <c:smooth val="0"/>
          <c:extLst>
            <c:ext xmlns:c16="http://schemas.microsoft.com/office/drawing/2014/chart" uri="{C3380CC4-5D6E-409C-BE32-E72D297353CC}">
              <c16:uniqueId val="{00000001-1133-4CDD-B01B-7949260B63D7}"/>
            </c:ext>
          </c:extLst>
        </c:ser>
        <c:dLbls>
          <c:showLegendKey val="0"/>
          <c:showVal val="0"/>
          <c:showCatName val="0"/>
          <c:showSerName val="0"/>
          <c:showPercent val="0"/>
          <c:showBubbleSize val="0"/>
        </c:dLbls>
        <c:smooth val="0"/>
        <c:axId val="1096118464"/>
        <c:axId val="2133376848"/>
      </c:lineChart>
      <c:catAx>
        <c:axId val="109611846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3376848"/>
        <c:crosses val="autoZero"/>
        <c:auto val="1"/>
        <c:lblAlgn val="ctr"/>
        <c:lblOffset val="100"/>
        <c:noMultiLvlLbl val="0"/>
      </c:catAx>
      <c:valAx>
        <c:axId val="2133376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1184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Time</a:t>
            </a:r>
            <a:r>
              <a:rPr lang="en-GB" baseline="0"/>
              <a:t> Burndown</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lineChart>
        <c:grouping val="standard"/>
        <c:varyColors val="0"/>
        <c:ser>
          <c:idx val="0"/>
          <c:order val="0"/>
          <c:tx>
            <c:strRef>
              <c:f>'Sprint 3'!$B$19</c:f>
              <c:strCache>
                <c:ptCount val="1"/>
                <c:pt idx="0">
                  <c:v>EST Time</c:v>
                </c:pt>
              </c:strCache>
            </c:strRef>
          </c:tx>
          <c:spPr>
            <a:ln w="28575" cap="rnd">
              <a:solidFill>
                <a:schemeClr val="accent1"/>
              </a:solidFill>
              <a:round/>
            </a:ln>
            <a:effectLst/>
          </c:spPr>
          <c:marker>
            <c:symbol val="none"/>
          </c:marker>
          <c:val>
            <c:numRef>
              <c:f>'Sprint 3'!$B$20:$B$30</c:f>
              <c:numCache>
                <c:formatCode>General</c:formatCode>
                <c:ptCount val="11"/>
                <c:pt idx="0">
                  <c:v>740</c:v>
                </c:pt>
                <c:pt idx="1">
                  <c:v>240</c:v>
                </c:pt>
                <c:pt idx="2">
                  <c:v>120</c:v>
                </c:pt>
                <c:pt idx="3">
                  <c:v>0</c:v>
                </c:pt>
              </c:numCache>
            </c:numRef>
          </c:val>
          <c:smooth val="0"/>
          <c:extLst>
            <c:ext xmlns:c16="http://schemas.microsoft.com/office/drawing/2014/chart" uri="{C3380CC4-5D6E-409C-BE32-E72D297353CC}">
              <c16:uniqueId val="{00000000-AEA8-4E10-AB00-3A36C4E69E8B}"/>
            </c:ext>
          </c:extLst>
        </c:ser>
        <c:ser>
          <c:idx val="1"/>
          <c:order val="1"/>
          <c:tx>
            <c:strRef>
              <c:f>'Sprint 3'!$C$19</c:f>
              <c:strCache>
                <c:ptCount val="1"/>
                <c:pt idx="0">
                  <c:v>Actual Time</c:v>
                </c:pt>
              </c:strCache>
            </c:strRef>
          </c:tx>
          <c:spPr>
            <a:ln w="28575" cap="rnd">
              <a:solidFill>
                <a:schemeClr val="accent2"/>
              </a:solidFill>
              <a:round/>
            </a:ln>
            <a:effectLst/>
          </c:spPr>
          <c:marker>
            <c:symbol val="none"/>
          </c:marker>
          <c:val>
            <c:numRef>
              <c:f>'Sprint 3'!$C$20:$C$30</c:f>
              <c:numCache>
                <c:formatCode>General</c:formatCode>
                <c:ptCount val="11"/>
                <c:pt idx="0">
                  <c:v>920</c:v>
                </c:pt>
                <c:pt idx="1">
                  <c:v>120</c:v>
                </c:pt>
                <c:pt idx="2">
                  <c:v>0</c:v>
                </c:pt>
                <c:pt idx="3">
                  <c:v>0</c:v>
                </c:pt>
              </c:numCache>
            </c:numRef>
          </c:val>
          <c:smooth val="0"/>
          <c:extLst>
            <c:ext xmlns:c16="http://schemas.microsoft.com/office/drawing/2014/chart" uri="{C3380CC4-5D6E-409C-BE32-E72D297353CC}">
              <c16:uniqueId val="{00000001-AEA8-4E10-AB00-3A36C4E69E8B}"/>
            </c:ext>
          </c:extLst>
        </c:ser>
        <c:dLbls>
          <c:showLegendKey val="0"/>
          <c:showVal val="0"/>
          <c:showCatName val="0"/>
          <c:showSerName val="0"/>
          <c:showPercent val="0"/>
          <c:showBubbleSize val="0"/>
        </c:dLbls>
        <c:smooth val="0"/>
        <c:axId val="1780720672"/>
        <c:axId val="1780721152"/>
      </c:lineChart>
      <c:catAx>
        <c:axId val="178072067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0721152"/>
        <c:crosses val="autoZero"/>
        <c:auto val="1"/>
        <c:lblAlgn val="ctr"/>
        <c:lblOffset val="100"/>
        <c:noMultiLvlLbl val="0"/>
      </c:catAx>
      <c:valAx>
        <c:axId val="1780721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07206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Effort Burdown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'Sprint 3'!$D$19</c:f>
              <c:strCache>
                <c:ptCount val="1"/>
                <c:pt idx="0">
                  <c:v>EST Effort</c:v>
                </c:pt>
              </c:strCache>
            </c:strRef>
          </c:tx>
          <c:spPr>
            <a:ln w="28575" cap="rnd">
              <a:solidFill>
                <a:schemeClr val="accent1"/>
              </a:solidFill>
              <a:round/>
            </a:ln>
            <a:effectLst/>
          </c:spPr>
          <c:marker>
            <c:symbol val="none"/>
          </c:marker>
          <c:val>
            <c:numRef>
              <c:f>'Sprint 3'!$D$20:$D$30</c:f>
              <c:numCache>
                <c:formatCode>General</c:formatCode>
                <c:ptCount val="11"/>
                <c:pt idx="0">
                  <c:v>12</c:v>
                </c:pt>
                <c:pt idx="1">
                  <c:v>7</c:v>
                </c:pt>
                <c:pt idx="2">
                  <c:v>4</c:v>
                </c:pt>
                <c:pt idx="3">
                  <c:v>0</c:v>
                </c:pt>
              </c:numCache>
            </c:numRef>
          </c:val>
          <c:smooth val="0"/>
          <c:extLst>
            <c:ext xmlns:c16="http://schemas.microsoft.com/office/drawing/2014/chart" uri="{C3380CC4-5D6E-409C-BE32-E72D297353CC}">
              <c16:uniqueId val="{00000000-AF77-4C24-BD56-E1AFDFEA0D01}"/>
            </c:ext>
          </c:extLst>
        </c:ser>
        <c:ser>
          <c:idx val="1"/>
          <c:order val="1"/>
          <c:tx>
            <c:strRef>
              <c:f>'Sprint 3'!$E$19</c:f>
              <c:strCache>
                <c:ptCount val="1"/>
                <c:pt idx="0">
                  <c:v>Actual Effort</c:v>
                </c:pt>
              </c:strCache>
            </c:strRef>
          </c:tx>
          <c:spPr>
            <a:ln w="28575" cap="rnd">
              <a:solidFill>
                <a:schemeClr val="accent2"/>
              </a:solidFill>
              <a:round/>
            </a:ln>
            <a:effectLst/>
          </c:spPr>
          <c:marker>
            <c:symbol val="none"/>
          </c:marker>
          <c:val>
            <c:numRef>
              <c:f>'Sprint 3'!$E$20:$E$30</c:f>
              <c:numCache>
                <c:formatCode>General</c:formatCode>
                <c:ptCount val="11"/>
                <c:pt idx="0">
                  <c:v>13</c:v>
                </c:pt>
                <c:pt idx="1">
                  <c:v>8</c:v>
                </c:pt>
                <c:pt idx="2">
                  <c:v>5</c:v>
                </c:pt>
                <c:pt idx="3">
                  <c:v>0</c:v>
                </c:pt>
              </c:numCache>
            </c:numRef>
          </c:val>
          <c:smooth val="0"/>
          <c:extLst>
            <c:ext xmlns:c16="http://schemas.microsoft.com/office/drawing/2014/chart" uri="{C3380CC4-5D6E-409C-BE32-E72D297353CC}">
              <c16:uniqueId val="{00000001-AF77-4C24-BD56-E1AFDFEA0D01}"/>
            </c:ext>
          </c:extLst>
        </c:ser>
        <c:dLbls>
          <c:showLegendKey val="0"/>
          <c:showVal val="0"/>
          <c:showCatName val="0"/>
          <c:showSerName val="0"/>
          <c:showPercent val="0"/>
          <c:showBubbleSize val="0"/>
        </c:dLbls>
        <c:smooth val="0"/>
        <c:axId val="1096146016"/>
        <c:axId val="1096146496"/>
      </c:lineChart>
      <c:catAx>
        <c:axId val="109614601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146496"/>
        <c:crosses val="autoZero"/>
        <c:auto val="1"/>
        <c:lblAlgn val="ctr"/>
        <c:lblOffset val="100"/>
        <c:noMultiLvlLbl val="0"/>
      </c:catAx>
      <c:valAx>
        <c:axId val="1096146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1460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Time Burndown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'Sprint 4'!$B$19</c:f>
              <c:strCache>
                <c:ptCount val="1"/>
                <c:pt idx="0">
                  <c:v>EST Time</c:v>
                </c:pt>
              </c:strCache>
            </c:strRef>
          </c:tx>
          <c:spPr>
            <a:ln w="28575" cap="rnd">
              <a:solidFill>
                <a:schemeClr val="accent1"/>
              </a:solidFill>
              <a:round/>
            </a:ln>
            <a:effectLst/>
          </c:spPr>
          <c:marker>
            <c:symbol val="none"/>
          </c:marker>
          <c:val>
            <c:numRef>
              <c:f>'Sprint 4'!$B$20:$B$30</c:f>
              <c:numCache>
                <c:formatCode>General</c:formatCode>
                <c:ptCount val="11"/>
                <c:pt idx="0">
                  <c:v>1640</c:v>
                </c:pt>
                <c:pt idx="1">
                  <c:v>1580</c:v>
                </c:pt>
                <c:pt idx="2">
                  <c:v>1180</c:v>
                </c:pt>
                <c:pt idx="3">
                  <c:v>680</c:v>
                </c:pt>
                <c:pt idx="4">
                  <c:v>560</c:v>
                </c:pt>
                <c:pt idx="5">
                  <c:v>500</c:v>
                </c:pt>
                <c:pt idx="6">
                  <c:v>300</c:v>
                </c:pt>
                <c:pt idx="7">
                  <c:v>0</c:v>
                </c:pt>
              </c:numCache>
            </c:numRef>
          </c:val>
          <c:smooth val="0"/>
          <c:extLst>
            <c:ext xmlns:c16="http://schemas.microsoft.com/office/drawing/2014/chart" uri="{C3380CC4-5D6E-409C-BE32-E72D297353CC}">
              <c16:uniqueId val="{00000000-BE26-4BBB-91A7-A00209814E72}"/>
            </c:ext>
          </c:extLst>
        </c:ser>
        <c:ser>
          <c:idx val="1"/>
          <c:order val="1"/>
          <c:tx>
            <c:strRef>
              <c:f>'Sprint 4'!$C$19</c:f>
              <c:strCache>
                <c:ptCount val="1"/>
                <c:pt idx="0">
                  <c:v>Actual Time</c:v>
                </c:pt>
              </c:strCache>
            </c:strRef>
          </c:tx>
          <c:spPr>
            <a:ln w="28575" cap="rnd">
              <a:solidFill>
                <a:schemeClr val="accent2"/>
              </a:solidFill>
              <a:round/>
            </a:ln>
            <a:effectLst/>
          </c:spPr>
          <c:marker>
            <c:symbol val="none"/>
          </c:marker>
          <c:val>
            <c:numRef>
              <c:f>'Sprint 4'!$C$20:$C$30</c:f>
              <c:numCache>
                <c:formatCode>General</c:formatCode>
                <c:ptCount val="11"/>
                <c:pt idx="0">
                  <c:v>1580</c:v>
                </c:pt>
                <c:pt idx="1">
                  <c:v>1460</c:v>
                </c:pt>
                <c:pt idx="2">
                  <c:v>1140</c:v>
                </c:pt>
                <c:pt idx="3">
                  <c:v>820</c:v>
                </c:pt>
                <c:pt idx="4">
                  <c:v>620</c:v>
                </c:pt>
                <c:pt idx="5">
                  <c:v>500</c:v>
                </c:pt>
                <c:pt idx="6">
                  <c:v>300</c:v>
                </c:pt>
                <c:pt idx="7">
                  <c:v>0</c:v>
                </c:pt>
              </c:numCache>
            </c:numRef>
          </c:val>
          <c:smooth val="0"/>
          <c:extLst>
            <c:ext xmlns:c16="http://schemas.microsoft.com/office/drawing/2014/chart" uri="{C3380CC4-5D6E-409C-BE32-E72D297353CC}">
              <c16:uniqueId val="{00000001-BE26-4BBB-91A7-A00209814E72}"/>
            </c:ext>
          </c:extLst>
        </c:ser>
        <c:dLbls>
          <c:showLegendKey val="0"/>
          <c:showVal val="0"/>
          <c:showCatName val="0"/>
          <c:showSerName val="0"/>
          <c:showPercent val="0"/>
          <c:showBubbleSize val="0"/>
        </c:dLbls>
        <c:smooth val="0"/>
        <c:axId val="2129107088"/>
        <c:axId val="2129108528"/>
      </c:lineChart>
      <c:catAx>
        <c:axId val="212910708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9108528"/>
        <c:crosses val="autoZero"/>
        <c:auto val="1"/>
        <c:lblAlgn val="ctr"/>
        <c:lblOffset val="100"/>
        <c:noMultiLvlLbl val="0"/>
      </c:catAx>
      <c:valAx>
        <c:axId val="2129108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91070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Effort Burndown</a:t>
            </a:r>
          </a:p>
        </c:rich>
      </c:tx>
      <c:layout>
        <c:manualLayout>
          <c:xMode val="edge"/>
          <c:yMode val="edge"/>
          <c:x val="0.37367955410068121"/>
          <c:y val="2.75387313101641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'Sprint 4'!$D$19</c:f>
              <c:strCache>
                <c:ptCount val="1"/>
                <c:pt idx="0">
                  <c:v>EST Effort</c:v>
                </c:pt>
              </c:strCache>
            </c:strRef>
          </c:tx>
          <c:spPr>
            <a:ln w="28575" cap="rnd">
              <a:solidFill>
                <a:schemeClr val="accent1"/>
              </a:solidFill>
              <a:round/>
            </a:ln>
            <a:effectLst/>
          </c:spPr>
          <c:marker>
            <c:symbol val="none"/>
          </c:marker>
          <c:val>
            <c:numRef>
              <c:f>'Sprint 4'!$D$20:$D$30</c:f>
              <c:numCache>
                <c:formatCode>General</c:formatCode>
                <c:ptCount val="11"/>
                <c:pt idx="0">
                  <c:v>25</c:v>
                </c:pt>
                <c:pt idx="1">
                  <c:v>21</c:v>
                </c:pt>
                <c:pt idx="2">
                  <c:v>19</c:v>
                </c:pt>
                <c:pt idx="3">
                  <c:v>17</c:v>
                </c:pt>
                <c:pt idx="4">
                  <c:v>15</c:v>
                </c:pt>
                <c:pt idx="5">
                  <c:v>14</c:v>
                </c:pt>
                <c:pt idx="6">
                  <c:v>3</c:v>
                </c:pt>
                <c:pt idx="7">
                  <c:v>0</c:v>
                </c:pt>
              </c:numCache>
            </c:numRef>
          </c:val>
          <c:smooth val="0"/>
          <c:extLst>
            <c:ext xmlns:c16="http://schemas.microsoft.com/office/drawing/2014/chart" uri="{C3380CC4-5D6E-409C-BE32-E72D297353CC}">
              <c16:uniqueId val="{00000000-7B7F-4CF5-93B0-791C22439951}"/>
            </c:ext>
          </c:extLst>
        </c:ser>
        <c:ser>
          <c:idx val="1"/>
          <c:order val="1"/>
          <c:tx>
            <c:strRef>
              <c:f>'Sprint 4'!$E$19</c:f>
              <c:strCache>
                <c:ptCount val="1"/>
                <c:pt idx="0">
                  <c:v>Actual Effort</c:v>
                </c:pt>
              </c:strCache>
            </c:strRef>
          </c:tx>
          <c:spPr>
            <a:ln w="28575" cap="rnd">
              <a:solidFill>
                <a:schemeClr val="accent2"/>
              </a:solidFill>
              <a:round/>
            </a:ln>
            <a:effectLst/>
          </c:spPr>
          <c:marker>
            <c:symbol val="none"/>
          </c:marker>
          <c:val>
            <c:numRef>
              <c:f>'Sprint 4'!$E$20:$E$30</c:f>
              <c:numCache>
                <c:formatCode>General</c:formatCode>
                <c:ptCount val="11"/>
                <c:pt idx="0">
                  <c:v>20</c:v>
                </c:pt>
                <c:pt idx="1">
                  <c:v>15</c:v>
                </c:pt>
                <c:pt idx="2">
                  <c:v>12</c:v>
                </c:pt>
                <c:pt idx="3">
                  <c:v>10</c:v>
                </c:pt>
                <c:pt idx="4">
                  <c:v>7</c:v>
                </c:pt>
                <c:pt idx="5">
                  <c:v>4</c:v>
                </c:pt>
                <c:pt idx="6">
                  <c:v>3</c:v>
                </c:pt>
                <c:pt idx="7">
                  <c:v>0</c:v>
                </c:pt>
              </c:numCache>
            </c:numRef>
          </c:val>
          <c:smooth val="0"/>
          <c:extLst>
            <c:ext xmlns:c16="http://schemas.microsoft.com/office/drawing/2014/chart" uri="{C3380CC4-5D6E-409C-BE32-E72D297353CC}">
              <c16:uniqueId val="{00000001-7B7F-4CF5-93B0-791C22439951}"/>
            </c:ext>
          </c:extLst>
        </c:ser>
        <c:dLbls>
          <c:showLegendKey val="0"/>
          <c:showVal val="0"/>
          <c:showCatName val="0"/>
          <c:showSerName val="0"/>
          <c:showPercent val="0"/>
          <c:showBubbleSize val="0"/>
        </c:dLbls>
        <c:smooth val="0"/>
        <c:axId val="2009699600"/>
        <c:axId val="2009699120"/>
      </c:lineChart>
      <c:catAx>
        <c:axId val="200969960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699120"/>
        <c:crosses val="autoZero"/>
        <c:auto val="1"/>
        <c:lblAlgn val="ctr"/>
        <c:lblOffset val="100"/>
        <c:noMultiLvlLbl val="0"/>
      </c:catAx>
      <c:valAx>
        <c:axId val="2009699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6996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7</xdr:col>
      <xdr:colOff>228599</xdr:colOff>
      <xdr:row>9</xdr:row>
      <xdr:rowOff>80963</xdr:rowOff>
    </xdr:from>
    <xdr:to>
      <xdr:col>12</xdr:col>
      <xdr:colOff>100012</xdr:colOff>
      <xdr:row>21</xdr:row>
      <xdr:rowOff>147639</xdr:rowOff>
    </xdr:to>
    <xdr:sp macro="" textlink="">
      <xdr:nvSpPr>
        <xdr:cNvPr id="3" name="Rectangle 2">
          <a:extLst>
            <a:ext uri="{FF2B5EF4-FFF2-40B4-BE49-F238E27FC236}">
              <a16:creationId xmlns:a16="http://schemas.microsoft.com/office/drawing/2014/main" id="{7A8E0076-AD64-4304-A936-E9222299C689}"/>
            </a:ext>
          </a:extLst>
        </xdr:cNvPr>
        <xdr:cNvSpPr/>
      </xdr:nvSpPr>
      <xdr:spPr>
        <a:xfrm>
          <a:off x="20407312" y="1709738"/>
          <a:ext cx="5838825" cy="223837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GB"/>
            <a:t>Overall I think the project was successful because I managed to create a fully playable prototype with procedural terrain generation, physics based movement, score systems, UI systems, dynamic music and story narration. One of the biggest strengths of the project is the scene created through the combo of visuals, audio</a:t>
          </a:r>
          <a:r>
            <a:rPr lang="en-GB" baseline="0"/>
            <a:t> </a:t>
          </a:r>
          <a:r>
            <a:rPr lang="en-GB"/>
            <a:t>and movement. The procedural dunes and momentum based gameplay helped the game feel fast paced and unique.</a:t>
          </a:r>
        </a:p>
        <a:p>
          <a:r>
            <a:rPr lang="en-GB"/>
            <a:t>The biggest challenge during development was managing scope. I attempted several advanced systems including moving floor mechanics, treadmill terrain generation, procedural dunes, dynamic narration and music blending. Some ideas had to be scrapped because they became too technically complicated or would have taken too much development time. I also experienced burnout during Sprint 3 because I completed such a large amount of work during the first half of the project.</a:t>
          </a:r>
        </a:p>
        <a:p>
          <a:r>
            <a:rPr lang="en-GB"/>
            <a:t>If I continued development further, I would focus mainly on expanding the story elements and improving environmental variety rather than adding more to the gameplay.</a:t>
          </a:r>
          <a:endParaRPr lang="en-GB" sz="1100" baseline="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276224</xdr:colOff>
      <xdr:row>0</xdr:row>
      <xdr:rowOff>176211</xdr:rowOff>
    </xdr:from>
    <xdr:to>
      <xdr:col>11</xdr:col>
      <xdr:colOff>233362</xdr:colOff>
      <xdr:row>16</xdr:row>
      <xdr:rowOff>66674</xdr:rowOff>
    </xdr:to>
    <xdr:sp macro="" textlink="">
      <xdr:nvSpPr>
        <xdr:cNvPr id="6" name="Rectangle 5">
          <a:extLst>
            <a:ext uri="{FF2B5EF4-FFF2-40B4-BE49-F238E27FC236}">
              <a16:creationId xmlns:a16="http://schemas.microsoft.com/office/drawing/2014/main" id="{7B82811D-F678-4F9A-99C1-53DB9915BF42}"/>
            </a:ext>
          </a:extLst>
        </xdr:cNvPr>
        <xdr:cNvSpPr/>
      </xdr:nvSpPr>
      <xdr:spPr>
        <a:xfrm>
          <a:off x="11101387" y="176211"/>
          <a:ext cx="5838825" cy="278606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GB"/>
            <a:t>Sprint 1 was the most productive part of the project because I managed to create most of the core gameplay systems very early. I started by setting up the Unity project and downloading the documentation templates so I could keep organised from the beginning. After that I focused mainly on the player movement and physics systems because the movement is the main mechanic of the game. Creating the rolling orb movement took a lot of experimentation with Rigidbody2D forces and momentum because I wanted the movement to feel smooth and satisfying rather than stiff or unrealistic. I also made the camera follow system and death sequence which helped the prototype start to feel like an actual game instead of just a test scene.</a:t>
          </a:r>
        </a:p>
        <a:p>
          <a:r>
            <a:rPr lang="en-GB"/>
            <a:t>During this sprint I also started thinking about how I would handle the terrain generation. My original idea was to create a treadmill style system where chunks of terrain would recycle around the player instead of constantly spawning and deleting objects. I tested a moving floor system as well where the environment would move instead of the player, but this became too complicated and difficult to combine with the physics based movement. Because of this I decided to scrap the moving floor idea and move procedural dune generation into the next sprint instead. Overall Sprint 1 went very well and gave me a strong foundation for the rest of the project, although I probably over-scoped slightly by attempting too many advanced systems early on.</a:t>
          </a:r>
        </a:p>
        <a:p>
          <a:pPr algn="l"/>
          <a:endParaRPr lang="en-GB" sz="1100" baseline="0"/>
        </a:p>
      </xdr:txBody>
    </xdr:sp>
    <xdr:clientData/>
  </xdr:twoCellAnchor>
  <xdr:twoCellAnchor>
    <xdr:from>
      <xdr:col>1</xdr:col>
      <xdr:colOff>9524</xdr:colOff>
      <xdr:row>31</xdr:row>
      <xdr:rowOff>9524</xdr:rowOff>
    </xdr:from>
    <xdr:to>
      <xdr:col>3</xdr:col>
      <xdr:colOff>4761</xdr:colOff>
      <xdr:row>46</xdr:row>
      <xdr:rowOff>33336</xdr:rowOff>
    </xdr:to>
    <xdr:graphicFrame macro="">
      <xdr:nvGraphicFramePr>
        <xdr:cNvPr id="2" name="Chart 1">
          <a:extLst>
            <a:ext uri="{FF2B5EF4-FFF2-40B4-BE49-F238E27FC236}">
              <a16:creationId xmlns:a16="http://schemas.microsoft.com/office/drawing/2014/main" id="{0268300D-9550-9906-160F-7FB9884C2F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9525</xdr:colOff>
      <xdr:row>31</xdr:row>
      <xdr:rowOff>0</xdr:rowOff>
    </xdr:from>
    <xdr:to>
      <xdr:col>5</xdr:col>
      <xdr:colOff>28575</xdr:colOff>
      <xdr:row>46</xdr:row>
      <xdr:rowOff>33337</xdr:rowOff>
    </xdr:to>
    <xdr:graphicFrame macro="">
      <xdr:nvGraphicFramePr>
        <xdr:cNvPr id="5" name="Chart 4">
          <a:extLst>
            <a:ext uri="{FF2B5EF4-FFF2-40B4-BE49-F238E27FC236}">
              <a16:creationId xmlns:a16="http://schemas.microsoft.com/office/drawing/2014/main" id="{33B4F747-626C-D75D-8837-D7DD637715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642936</xdr:colOff>
      <xdr:row>1</xdr:row>
      <xdr:rowOff>9525</xdr:rowOff>
    </xdr:from>
    <xdr:to>
      <xdr:col>12</xdr:col>
      <xdr:colOff>466724</xdr:colOff>
      <xdr:row>16</xdr:row>
      <xdr:rowOff>76200</xdr:rowOff>
    </xdr:to>
    <xdr:sp macro="" textlink="">
      <xdr:nvSpPr>
        <xdr:cNvPr id="5" name="Rectangle 4">
          <a:extLst>
            <a:ext uri="{FF2B5EF4-FFF2-40B4-BE49-F238E27FC236}">
              <a16:creationId xmlns:a16="http://schemas.microsoft.com/office/drawing/2014/main" id="{F412C7F8-E2C6-41AB-9C63-64A81A5F68B4}"/>
            </a:ext>
          </a:extLst>
        </xdr:cNvPr>
        <xdr:cNvSpPr/>
      </xdr:nvSpPr>
      <xdr:spPr>
        <a:xfrm>
          <a:off x="10801349" y="190500"/>
          <a:ext cx="6353175" cy="27813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GB"/>
            <a:t>Sprint 2 i focused a lot on procedural generation and gameplay. This was one of the hardest parts of the project because generating smooth dunes dynamically caused many issues with collisions, tessellation errors, and terrain shapes breaking unexpectedly. After researching procedural generation techniques online and experimenting with Perlin noise systems, I eventually managed to create working procedural dunes that generated infinitely as the player moved forward.</a:t>
          </a:r>
        </a:p>
        <a:p>
          <a:r>
            <a:rPr lang="en-GB"/>
            <a:t>I also added the score system and infinite terrain generation during this sprint. The score system worked together with the player speed and multiplier systems to reward skilled movement and maintaining momentum. Infinite terrain generation was partially completed during this sprint but still needed optimisation and polishing. One of the main problems I encountered was Unity SpriteShape tessellation errors was caused by spline points overlapping  too close. I attempted to fix this for a long time but eventually accepted the occasional warning because the dunes themselves still rendered correctly.</a:t>
          </a:r>
        </a:p>
        <a:p>
          <a:r>
            <a:rPr lang="en-GB"/>
            <a:t>I also added post processing effects and UI elements to improve the atmosphere of the game. The treadmill terrain idea from Sprint 1 was scrapped during this stage because procedural generation ended up being a more effective solution. This sprint was difficult technically but it was also the point where the project started feeling good and interesting.</a:t>
          </a:r>
        </a:p>
        <a:p>
          <a:pPr algn="l"/>
          <a:endParaRPr lang="en-GB" sz="1100" baseline="0"/>
        </a:p>
      </xdr:txBody>
    </xdr:sp>
    <xdr:clientData/>
  </xdr:twoCellAnchor>
  <xdr:twoCellAnchor>
    <xdr:from>
      <xdr:col>0</xdr:col>
      <xdr:colOff>2305050</xdr:colOff>
      <xdr:row>30</xdr:row>
      <xdr:rowOff>66675</xdr:rowOff>
    </xdr:from>
    <xdr:to>
      <xdr:col>3</xdr:col>
      <xdr:colOff>0</xdr:colOff>
      <xdr:row>45</xdr:row>
      <xdr:rowOff>61912</xdr:rowOff>
    </xdr:to>
    <xdr:graphicFrame macro="">
      <xdr:nvGraphicFramePr>
        <xdr:cNvPr id="8" name="Chart 7">
          <a:extLst>
            <a:ext uri="{FF2B5EF4-FFF2-40B4-BE49-F238E27FC236}">
              <a16:creationId xmlns:a16="http://schemas.microsoft.com/office/drawing/2014/main" id="{0B3FD024-008C-3CF7-0A28-2061D081A9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9525</xdr:colOff>
      <xdr:row>30</xdr:row>
      <xdr:rowOff>66676</xdr:rowOff>
    </xdr:from>
    <xdr:to>
      <xdr:col>5</xdr:col>
      <xdr:colOff>9525</xdr:colOff>
      <xdr:row>45</xdr:row>
      <xdr:rowOff>128587</xdr:rowOff>
    </xdr:to>
    <xdr:graphicFrame macro="">
      <xdr:nvGraphicFramePr>
        <xdr:cNvPr id="9" name="Chart 8">
          <a:extLst>
            <a:ext uri="{FF2B5EF4-FFF2-40B4-BE49-F238E27FC236}">
              <a16:creationId xmlns:a16="http://schemas.microsoft.com/office/drawing/2014/main" id="{A9ACD223-36F9-C57F-CA97-4D408CF632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19050</xdr:colOff>
      <xdr:row>1</xdr:row>
      <xdr:rowOff>4762</xdr:rowOff>
    </xdr:from>
    <xdr:to>
      <xdr:col>11</xdr:col>
      <xdr:colOff>533400</xdr:colOff>
      <xdr:row>11</xdr:row>
      <xdr:rowOff>142875</xdr:rowOff>
    </xdr:to>
    <xdr:sp macro="" textlink="">
      <xdr:nvSpPr>
        <xdr:cNvPr id="5" name="Rectangle 4">
          <a:extLst>
            <a:ext uri="{FF2B5EF4-FFF2-40B4-BE49-F238E27FC236}">
              <a16:creationId xmlns:a16="http://schemas.microsoft.com/office/drawing/2014/main" id="{46D06D4E-62E2-4136-BA5A-A5EF824FC1D3}"/>
            </a:ext>
          </a:extLst>
        </xdr:cNvPr>
        <xdr:cNvSpPr/>
      </xdr:nvSpPr>
      <xdr:spPr>
        <a:xfrm>
          <a:off x="10734675" y="185737"/>
          <a:ext cx="5748338" cy="194786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GB"/>
            <a:t>Sprint 3 was the least productive sprint from the burnout from the amount of work i completed earlier in development. Most of the main systems had already been created by this point, so I mainly focused on finishing the infinite terrain generation system and creating the main menu. Although I did complete the terrain system successfully, progress overall was much slower compared to previous sprints.</a:t>
          </a:r>
        </a:p>
        <a:p>
          <a:r>
            <a:rPr lang="en-GB"/>
            <a:t>The pause menu was started during this sprint but had to be moved into Sprint 4 because I had UI interaction issues with buttons not responding correctly while the game was paused so i got frustrated and put it for next week. I also spent time testing gameplay balance and fixing smaller issues that appeared after longer play sessions. Even though this sprint was less productive, I still managed to complete important polishing tasks and continue improving  overall.</a:t>
          </a:r>
        </a:p>
        <a:p>
          <a:pPr algn="l"/>
          <a:endParaRPr lang="en-GB" sz="1100" baseline="0"/>
        </a:p>
      </xdr:txBody>
    </xdr:sp>
    <xdr:clientData/>
  </xdr:twoCellAnchor>
  <xdr:twoCellAnchor>
    <xdr:from>
      <xdr:col>0</xdr:col>
      <xdr:colOff>2219325</xdr:colOff>
      <xdr:row>30</xdr:row>
      <xdr:rowOff>0</xdr:rowOff>
    </xdr:from>
    <xdr:to>
      <xdr:col>3</xdr:col>
      <xdr:colOff>9525</xdr:colOff>
      <xdr:row>45</xdr:row>
      <xdr:rowOff>52387</xdr:rowOff>
    </xdr:to>
    <xdr:graphicFrame macro="">
      <xdr:nvGraphicFramePr>
        <xdr:cNvPr id="6" name="Chart 5">
          <a:extLst>
            <a:ext uri="{FF2B5EF4-FFF2-40B4-BE49-F238E27FC236}">
              <a16:creationId xmlns:a16="http://schemas.microsoft.com/office/drawing/2014/main" id="{43A84AEF-258A-2016-1D5D-3E969E9F5D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19050</xdr:colOff>
      <xdr:row>30</xdr:row>
      <xdr:rowOff>28574</xdr:rowOff>
    </xdr:from>
    <xdr:to>
      <xdr:col>5</xdr:col>
      <xdr:colOff>9525</xdr:colOff>
      <xdr:row>45</xdr:row>
      <xdr:rowOff>33336</xdr:rowOff>
    </xdr:to>
    <xdr:graphicFrame macro="">
      <xdr:nvGraphicFramePr>
        <xdr:cNvPr id="7" name="Chart 6">
          <a:extLst>
            <a:ext uri="{FF2B5EF4-FFF2-40B4-BE49-F238E27FC236}">
              <a16:creationId xmlns:a16="http://schemas.microsoft.com/office/drawing/2014/main" id="{6E3A78ED-C1E3-D754-5BD8-257263992E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14286</xdr:colOff>
      <xdr:row>1</xdr:row>
      <xdr:rowOff>0</xdr:rowOff>
    </xdr:from>
    <xdr:to>
      <xdr:col>11</xdr:col>
      <xdr:colOff>481012</xdr:colOff>
      <xdr:row>16</xdr:row>
      <xdr:rowOff>171450</xdr:rowOff>
    </xdr:to>
    <xdr:sp macro="" textlink="">
      <xdr:nvSpPr>
        <xdr:cNvPr id="5" name="Rectangle 4">
          <a:extLst>
            <a:ext uri="{FF2B5EF4-FFF2-40B4-BE49-F238E27FC236}">
              <a16:creationId xmlns:a16="http://schemas.microsoft.com/office/drawing/2014/main" id="{7E16A7AB-F716-475F-B8D2-E0F14E6B1128}"/>
            </a:ext>
          </a:extLst>
        </xdr:cNvPr>
        <xdr:cNvSpPr/>
      </xdr:nvSpPr>
      <xdr:spPr>
        <a:xfrm>
          <a:off x="10096499" y="180975"/>
          <a:ext cx="5700713" cy="28860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GB"/>
            <a:t>Sprint 4 focused mainly on polish, balancing, story and final improvements to the player experience. I completed the pause menu system and fixed several UI bugs that had been causing issues during gameplay. I also added story narration messages that appear while progressing through the game. This helped improve the narrative aspect of the prototype because earlier feedback suggested that the game lacked a</a:t>
          </a:r>
          <a:r>
            <a:rPr lang="en-GB" baseline="0"/>
            <a:t> lot of</a:t>
          </a:r>
          <a:r>
            <a:rPr lang="en-GB"/>
            <a:t> story.</a:t>
          </a:r>
        </a:p>
        <a:p>
          <a:r>
            <a:rPr lang="en-GB"/>
            <a:t>A large amount of time during this sprint was spent balancing gameplay systems. I adjusted the player physics, momentum gain, scoring, multipliers, and procedural terrain values repeatedly because small changes had a major impact on how satisfying the game felt to play. I also implemented music transitions which changed the atmosphere depending on player progress and distance travelled. These transitions helped make the game feel more immersive and supported the increasing tension within the story</a:t>
          </a:r>
          <a:r>
            <a:rPr lang="en-GB" baseline="0"/>
            <a:t> however they do lag a bit when transitioning not sure why.</a:t>
          </a:r>
          <a:endParaRPr lang="en-GB"/>
        </a:p>
        <a:p>
          <a:r>
            <a:rPr lang="en-GB"/>
            <a:t>Playtesting was another major part of this sprint. Testing helped identify issues with pacing, UI readability, and difficulty scaling. I also completed most of the documentation during this sprint to ensure the project met the requirements. Overall this sprint was more focused on refining and polishing existing systems rather than building new mechanics.</a:t>
          </a:r>
        </a:p>
        <a:p>
          <a:pPr algn="l"/>
          <a:endParaRPr lang="en-GB" sz="1100" baseline="0"/>
        </a:p>
      </xdr:txBody>
    </xdr:sp>
    <xdr:clientData/>
  </xdr:twoCellAnchor>
  <xdr:twoCellAnchor>
    <xdr:from>
      <xdr:col>0</xdr:col>
      <xdr:colOff>1371600</xdr:colOff>
      <xdr:row>30</xdr:row>
      <xdr:rowOff>28574</xdr:rowOff>
    </xdr:from>
    <xdr:to>
      <xdr:col>3</xdr:col>
      <xdr:colOff>0</xdr:colOff>
      <xdr:row>45</xdr:row>
      <xdr:rowOff>52386</xdr:rowOff>
    </xdr:to>
    <xdr:graphicFrame macro="">
      <xdr:nvGraphicFramePr>
        <xdr:cNvPr id="6" name="Chart 5">
          <a:extLst>
            <a:ext uri="{FF2B5EF4-FFF2-40B4-BE49-F238E27FC236}">
              <a16:creationId xmlns:a16="http://schemas.microsoft.com/office/drawing/2014/main" id="{AFE1A55C-F8BB-14CB-6FFB-47270D0996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9525</xdr:colOff>
      <xdr:row>30</xdr:row>
      <xdr:rowOff>9525</xdr:rowOff>
    </xdr:from>
    <xdr:to>
      <xdr:col>5</xdr:col>
      <xdr:colOff>9525</xdr:colOff>
      <xdr:row>45</xdr:row>
      <xdr:rowOff>61912</xdr:rowOff>
    </xdr:to>
    <xdr:graphicFrame macro="">
      <xdr:nvGraphicFramePr>
        <xdr:cNvPr id="7" name="Chart 6">
          <a:extLst>
            <a:ext uri="{FF2B5EF4-FFF2-40B4-BE49-F238E27FC236}">
              <a16:creationId xmlns:a16="http://schemas.microsoft.com/office/drawing/2014/main" id="{B63AB40C-63F7-DF0F-0D0E-D41D17C083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137FC91-BE9A-4933-A203-9434D792CCC4}" name="Table1" displayName="Table1" ref="A1:G27" totalsRowShown="0">
  <autoFilter ref="A1:G27" xr:uid="{A137FC91-BE9A-4933-A203-9434D792CCC4}"/>
  <tableColumns count="7">
    <tableColumn id="1" xr3:uid="{7CA41AAE-F85F-4665-A35A-D6618CAA5BD2}" name="Task"/>
    <tableColumn id="2" xr3:uid="{247C02F7-4F94-4FD7-A623-094F43BCDA7B}" name="Expected Completion Time"/>
    <tableColumn id="3" xr3:uid="{DE1C8563-E24D-492D-A7FD-4994472052FF}" name="Expected Effort Value"/>
    <tableColumn id="4" xr3:uid="{E0495A7D-C452-4386-B757-091668A213FF}" name="Actual Completion Time"/>
    <tableColumn id="5" xr3:uid="{B27DEB51-1AB5-4144-AD0B-848CC6A886E5}" name="Actual Effort Value"/>
    <tableColumn id="6" xr3:uid="{FA6C4965-7CB7-4632-82DD-49DB91CFDD5C}" name="Completed?"/>
    <tableColumn id="9" xr3:uid="{3247CDCD-25C5-4629-962E-280E48F47F27}" name="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6B1F53C-C4C1-4D4A-8C56-FB9D9F995BCA}" name="Table2" displayName="Table2" ref="A2:F12" totalsRowShown="0" headerRowDxfId="56" headerRowBorderDxfId="55" tableBorderDxfId="54">
  <autoFilter ref="A2:F12" xr:uid="{46B1F53C-C4C1-4D4A-8C56-FB9D9F995BCA}"/>
  <tableColumns count="6">
    <tableColumn id="1" xr3:uid="{788B8BB2-E6B6-4F9E-B3C6-9FF7D868F3E3}" name="Task"/>
    <tableColumn id="2" xr3:uid="{672A1D51-9409-40C7-B6A8-EBFFB23F3F9F}" name="Expected Completion Time"/>
    <tableColumn id="3" xr3:uid="{7CF4C60B-1B01-40A4-94B5-9682501D6B59}" name="Expected Effort Value"/>
    <tableColumn id="4" xr3:uid="{70E016C6-CFDA-415D-BDCB-4D6B39E3AA07}" name="Actual Completion Time"/>
    <tableColumn id="5" xr3:uid="{07EBB282-4B49-47BC-951B-5C52FB6F1764}" name="Actual Effort Value"/>
    <tableColumn id="6" xr3:uid="{E9980CBE-4CD3-4404-9041-32D52C69F9BA}" name="Completed?"/>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D72E135-42E8-4466-9432-181689082991}" name="Table24" displayName="Table24" ref="A2:F10" totalsRowShown="0" headerRowDxfId="53" headerRowBorderDxfId="52" tableBorderDxfId="51">
  <autoFilter ref="A2:F10" xr:uid="{6D72E135-42E8-4466-9432-181689082991}"/>
  <tableColumns count="6">
    <tableColumn id="1" xr3:uid="{5E3EFBC7-C72A-4F65-832A-B4549452D69A}" name="Task"/>
    <tableColumn id="2" xr3:uid="{59E5062D-CBCF-4040-AC71-EE6EE1061902}" name="Expected Completion Time"/>
    <tableColumn id="3" xr3:uid="{D11DDF60-21E2-47EA-9C78-C56BE9359315}" name="Expected Effort Value"/>
    <tableColumn id="4" xr3:uid="{2C63D688-0F4A-4AC4-9F39-DF1F91F9E4D4}" name="Actual Completion Time"/>
    <tableColumn id="5" xr3:uid="{3144CFCC-AFEF-43F0-94EA-38ECD9351075}" name="Actual Effort Value"/>
    <tableColumn id="6" xr3:uid="{23BAAD66-C2A8-46B6-A032-297EB06DF1A2}" name="Completed?"/>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DCB39E3-3C43-4EF8-8143-FDD441EDFC97}" name="Table25" displayName="Table25" ref="A2:F5" totalsRowShown="0" headerRowDxfId="50" headerRowBorderDxfId="49" tableBorderDxfId="48">
  <autoFilter ref="A2:F5" xr:uid="{0DCB39E3-3C43-4EF8-8143-FDD441EDFC97}"/>
  <tableColumns count="6">
    <tableColumn id="1" xr3:uid="{37EA0DFA-CC78-401D-B0A2-204765EE7A55}" name="Task"/>
    <tableColumn id="2" xr3:uid="{050BBE4C-53C1-4C0C-BFD1-1799B2814F5A}" name="Expected Completion Time"/>
    <tableColumn id="3" xr3:uid="{D2955FCB-83D1-44DB-BC1D-BF0F80CD45EB}" name="Expected Effort Value"/>
    <tableColumn id="4" xr3:uid="{611864BB-6D08-471D-B2A2-1EE32B27459F}" name="Actual Completion Time"/>
    <tableColumn id="5" xr3:uid="{15704A7E-1CEA-4135-9C92-8F843F51DFA2}" name="Actual Effort Value"/>
    <tableColumn id="6" xr3:uid="{5AC815A0-4653-4D91-88F1-06B0DF1AFC8E}" name="Completed?"/>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2AF1EF8-2370-4D57-8E84-53FBD02863D5}" name="Table26" displayName="Table26" ref="A2:F9" totalsRowShown="0" headerRowDxfId="47" headerRowBorderDxfId="46" tableBorderDxfId="45">
  <autoFilter ref="A2:F9" xr:uid="{92AF1EF8-2370-4D57-8E84-53FBD02863D5}"/>
  <tableColumns count="6">
    <tableColumn id="1" xr3:uid="{67E1A643-CBC3-4C25-94DE-5B348DEEF5DD}" name="Task"/>
    <tableColumn id="2" xr3:uid="{7396A6BB-1D53-4C5A-93E9-14B0D29634C8}" name="Expected Completion Time"/>
    <tableColumn id="3" xr3:uid="{4434020A-20B2-4132-BE65-2FE05E4E013E}" name="Expected Effort Value"/>
    <tableColumn id="4" xr3:uid="{EECA7F9C-2C86-47AC-8CCE-9C1C00380E78}" name="Actual Completion Time"/>
    <tableColumn id="5" xr3:uid="{AC322715-E72B-4211-98D0-C9968942B295}" name="Actual Effort Value"/>
    <tableColumn id="6" xr3:uid="{E15BAC16-B447-4180-A020-04D4D9E70D22}" name="Complet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6E5FF-638B-4DA6-B21D-E07D656B66DA}">
  <dimension ref="A1:L73"/>
  <sheetViews>
    <sheetView tabSelected="1" topLeftCell="E1" workbookViewId="0">
      <selection activeCell="S15" sqref="S15"/>
    </sheetView>
  </sheetViews>
  <sheetFormatPr defaultRowHeight="14.25" x14ac:dyDescent="0.45"/>
  <cols>
    <col min="1" max="1" width="44.3984375" customWidth="1"/>
    <col min="2" max="2" width="27.59765625" customWidth="1"/>
    <col min="3" max="3" width="22.59765625" customWidth="1"/>
    <col min="4" max="4" width="24.73046875" customWidth="1"/>
    <col min="5" max="5" width="19.73046875" customWidth="1"/>
    <col min="6" max="6" width="17" customWidth="1"/>
    <col min="7" max="7" width="126.3984375" customWidth="1"/>
    <col min="10" max="10" width="38.59765625" bestFit="1" customWidth="1"/>
    <col min="11" max="11" width="17.73046875" bestFit="1" customWidth="1"/>
  </cols>
  <sheetData>
    <row r="1" spans="1:12" x14ac:dyDescent="0.45">
      <c r="A1" t="s">
        <v>0</v>
      </c>
      <c r="B1" t="s">
        <v>1</v>
      </c>
      <c r="C1" t="s">
        <v>2</v>
      </c>
      <c r="D1" t="s">
        <v>3</v>
      </c>
      <c r="E1" t="s">
        <v>4</v>
      </c>
      <c r="F1" t="s">
        <v>5</v>
      </c>
      <c r="G1" t="s">
        <v>6</v>
      </c>
    </row>
    <row r="2" spans="1:12" x14ac:dyDescent="0.45">
      <c r="A2" s="3" t="s">
        <v>7</v>
      </c>
      <c r="B2">
        <v>15</v>
      </c>
      <c r="C2">
        <v>1</v>
      </c>
      <c r="D2">
        <v>5</v>
      </c>
      <c r="E2">
        <v>1</v>
      </c>
      <c r="F2" t="s">
        <v>21</v>
      </c>
      <c r="G2" t="s">
        <v>58</v>
      </c>
    </row>
    <row r="3" spans="1:12" x14ac:dyDescent="0.45">
      <c r="A3" s="5" t="s">
        <v>8</v>
      </c>
      <c r="B3">
        <v>15</v>
      </c>
      <c r="C3">
        <v>1</v>
      </c>
      <c r="D3">
        <v>5</v>
      </c>
      <c r="E3">
        <v>1</v>
      </c>
      <c r="F3" t="s">
        <v>21</v>
      </c>
      <c r="G3" t="s">
        <v>58</v>
      </c>
    </row>
    <row r="4" spans="1:12" x14ac:dyDescent="0.45">
      <c r="A4" s="3" t="s">
        <v>22</v>
      </c>
      <c r="B4">
        <v>15</v>
      </c>
      <c r="C4">
        <v>2</v>
      </c>
      <c r="D4">
        <v>60</v>
      </c>
      <c r="E4">
        <v>2</v>
      </c>
      <c r="F4" t="s">
        <v>21</v>
      </c>
      <c r="G4" t="s">
        <v>58</v>
      </c>
      <c r="J4" t="s">
        <v>9</v>
      </c>
      <c r="K4">
        <f>SUM(Table1[Expected Completion Time])</f>
        <v>5285</v>
      </c>
      <c r="L4" t="s">
        <v>30</v>
      </c>
    </row>
    <row r="5" spans="1:12" x14ac:dyDescent="0.45">
      <c r="A5" s="5" t="s">
        <v>37</v>
      </c>
      <c r="B5">
        <v>15</v>
      </c>
      <c r="C5">
        <v>1</v>
      </c>
      <c r="D5">
        <v>60</v>
      </c>
      <c r="E5">
        <v>3</v>
      </c>
      <c r="F5" t="s">
        <v>21</v>
      </c>
      <c r="G5" t="s">
        <v>58</v>
      </c>
      <c r="J5" t="s">
        <v>10</v>
      </c>
      <c r="K5">
        <f>SUM(Table1[Actual Completion Time])</f>
        <v>5925</v>
      </c>
      <c r="L5" t="s">
        <v>30</v>
      </c>
    </row>
    <row r="6" spans="1:12" x14ac:dyDescent="0.45">
      <c r="A6" s="3" t="s">
        <v>38</v>
      </c>
      <c r="B6">
        <v>30</v>
      </c>
      <c r="C6">
        <v>3</v>
      </c>
      <c r="D6">
        <v>145</v>
      </c>
      <c r="E6">
        <v>4</v>
      </c>
      <c r="F6" t="s">
        <v>21</v>
      </c>
      <c r="G6" t="s">
        <v>58</v>
      </c>
    </row>
    <row r="7" spans="1:12" x14ac:dyDescent="0.45">
      <c r="A7" s="5" t="s">
        <v>23</v>
      </c>
      <c r="B7">
        <v>30</v>
      </c>
      <c r="C7">
        <v>3</v>
      </c>
      <c r="D7">
        <v>120</v>
      </c>
      <c r="E7">
        <v>4</v>
      </c>
      <c r="F7" t="s">
        <v>21</v>
      </c>
      <c r="G7" t="s">
        <v>58</v>
      </c>
      <c r="J7" t="s">
        <v>11</v>
      </c>
      <c r="K7">
        <f>SUM(Table1[Expected Effort Value])</f>
        <v>82</v>
      </c>
    </row>
    <row r="8" spans="1:12" x14ac:dyDescent="0.45">
      <c r="A8" s="3" t="s">
        <v>24</v>
      </c>
      <c r="B8">
        <v>30</v>
      </c>
      <c r="C8">
        <v>4</v>
      </c>
      <c r="D8">
        <v>180</v>
      </c>
      <c r="E8">
        <v>5</v>
      </c>
      <c r="F8" t="s">
        <v>21</v>
      </c>
      <c r="G8" t="s">
        <v>58</v>
      </c>
      <c r="J8" t="s">
        <v>12</v>
      </c>
      <c r="K8">
        <f>SUM(Table1[Actual Effort Value])</f>
        <v>72</v>
      </c>
    </row>
    <row r="9" spans="1:12" x14ac:dyDescent="0.45">
      <c r="A9" s="14" t="s">
        <v>39</v>
      </c>
      <c r="B9">
        <v>500</v>
      </c>
      <c r="C9">
        <v>3</v>
      </c>
      <c r="F9" t="s">
        <v>29</v>
      </c>
      <c r="G9" t="s">
        <v>53</v>
      </c>
    </row>
    <row r="10" spans="1:12" x14ac:dyDescent="0.45">
      <c r="A10" t="s">
        <v>43</v>
      </c>
      <c r="B10" s="26">
        <v>400</v>
      </c>
      <c r="C10" s="26">
        <v>3</v>
      </c>
      <c r="D10" s="26"/>
      <c r="E10" s="26"/>
      <c r="F10" s="26" t="s">
        <v>26</v>
      </c>
      <c r="G10" t="s">
        <v>54</v>
      </c>
    </row>
    <row r="11" spans="1:12" x14ac:dyDescent="0.45">
      <c r="A11" t="s">
        <v>39</v>
      </c>
      <c r="B11">
        <v>300</v>
      </c>
      <c r="C11">
        <v>4</v>
      </c>
      <c r="D11">
        <v>1500</v>
      </c>
      <c r="E11">
        <v>5</v>
      </c>
      <c r="F11" t="s">
        <v>21</v>
      </c>
      <c r="G11" t="s">
        <v>58</v>
      </c>
    </row>
    <row r="12" spans="1:12" x14ac:dyDescent="0.45">
      <c r="A12" t="s">
        <v>40</v>
      </c>
      <c r="B12">
        <v>120</v>
      </c>
      <c r="C12">
        <v>3</v>
      </c>
      <c r="D12">
        <v>200</v>
      </c>
      <c r="E12">
        <v>3</v>
      </c>
      <c r="F12" t="s">
        <v>21</v>
      </c>
      <c r="G12" t="s">
        <v>58</v>
      </c>
    </row>
    <row r="13" spans="1:12" x14ac:dyDescent="0.45">
      <c r="A13" t="s">
        <v>41</v>
      </c>
      <c r="B13">
        <v>800</v>
      </c>
      <c r="C13">
        <v>5</v>
      </c>
      <c r="D13">
        <v>1000</v>
      </c>
      <c r="E13">
        <v>5</v>
      </c>
      <c r="F13" t="s">
        <v>25</v>
      </c>
      <c r="G13" t="s">
        <v>55</v>
      </c>
    </row>
    <row r="14" spans="1:12" x14ac:dyDescent="0.45">
      <c r="A14" t="s">
        <v>27</v>
      </c>
      <c r="B14">
        <v>15</v>
      </c>
      <c r="C14">
        <v>2</v>
      </c>
      <c r="D14">
        <v>30</v>
      </c>
      <c r="E14">
        <v>3</v>
      </c>
      <c r="F14" t="s">
        <v>21</v>
      </c>
      <c r="G14" t="s">
        <v>58</v>
      </c>
    </row>
    <row r="15" spans="1:12" x14ac:dyDescent="0.45">
      <c r="A15" t="s">
        <v>42</v>
      </c>
      <c r="B15">
        <v>60</v>
      </c>
      <c r="C15">
        <v>2</v>
      </c>
      <c r="D15">
        <v>120</v>
      </c>
      <c r="E15">
        <v>3</v>
      </c>
      <c r="F15" t="s">
        <v>21</v>
      </c>
      <c r="G15" t="s">
        <v>58</v>
      </c>
    </row>
    <row r="16" spans="1:12" x14ac:dyDescent="0.45">
      <c r="A16" t="s">
        <v>44</v>
      </c>
      <c r="B16">
        <v>60</v>
      </c>
      <c r="C16">
        <v>3</v>
      </c>
      <c r="F16" t="s">
        <v>26</v>
      </c>
      <c r="G16" t="s">
        <v>58</v>
      </c>
    </row>
    <row r="17" spans="1:7" x14ac:dyDescent="0.45">
      <c r="A17" t="s">
        <v>45</v>
      </c>
      <c r="B17">
        <v>500</v>
      </c>
      <c r="C17">
        <v>5</v>
      </c>
      <c r="F17" t="s">
        <v>26</v>
      </c>
      <c r="G17" t="s">
        <v>58</v>
      </c>
    </row>
    <row r="18" spans="1:7" x14ac:dyDescent="0.45">
      <c r="A18" t="s">
        <v>41</v>
      </c>
      <c r="B18">
        <v>500</v>
      </c>
      <c r="C18">
        <v>5</v>
      </c>
      <c r="D18">
        <v>800</v>
      </c>
      <c r="E18">
        <v>5</v>
      </c>
      <c r="F18" t="s">
        <v>21</v>
      </c>
      <c r="G18" t="s">
        <v>56</v>
      </c>
    </row>
    <row r="19" spans="1:7" x14ac:dyDescent="0.45">
      <c r="A19" t="s">
        <v>46</v>
      </c>
      <c r="B19">
        <v>120</v>
      </c>
      <c r="C19">
        <v>3</v>
      </c>
      <c r="D19">
        <v>120</v>
      </c>
      <c r="E19">
        <v>3</v>
      </c>
      <c r="F19" t="s">
        <v>21</v>
      </c>
      <c r="G19" t="s">
        <v>58</v>
      </c>
    </row>
    <row r="20" spans="1:7" x14ac:dyDescent="0.45">
      <c r="A20" t="s">
        <v>28</v>
      </c>
      <c r="B20">
        <v>120</v>
      </c>
      <c r="C20">
        <v>4</v>
      </c>
      <c r="E20">
        <v>5</v>
      </c>
      <c r="F20" t="s">
        <v>29</v>
      </c>
      <c r="G20" t="s">
        <v>57</v>
      </c>
    </row>
    <row r="21" spans="1:7" x14ac:dyDescent="0.45">
      <c r="A21" t="s">
        <v>28</v>
      </c>
      <c r="B21">
        <v>60</v>
      </c>
      <c r="C21">
        <v>4</v>
      </c>
      <c r="D21">
        <v>120</v>
      </c>
      <c r="E21">
        <v>5</v>
      </c>
      <c r="F21" t="s">
        <v>21</v>
      </c>
      <c r="G21" t="s">
        <v>58</v>
      </c>
    </row>
    <row r="22" spans="1:7" x14ac:dyDescent="0.45">
      <c r="A22" t="s">
        <v>47</v>
      </c>
      <c r="B22">
        <v>400</v>
      </c>
      <c r="C22">
        <v>2</v>
      </c>
      <c r="D22">
        <v>320</v>
      </c>
      <c r="E22">
        <v>3</v>
      </c>
      <c r="F22" t="s">
        <v>21</v>
      </c>
      <c r="G22" t="s">
        <v>58</v>
      </c>
    </row>
    <row r="23" spans="1:7" x14ac:dyDescent="0.45">
      <c r="A23" t="s">
        <v>48</v>
      </c>
      <c r="B23">
        <v>500</v>
      </c>
      <c r="C23">
        <v>2</v>
      </c>
      <c r="D23">
        <v>320</v>
      </c>
      <c r="E23">
        <v>2</v>
      </c>
      <c r="F23" t="s">
        <v>21</v>
      </c>
      <c r="G23" t="s">
        <v>58</v>
      </c>
    </row>
    <row r="24" spans="1:7" x14ac:dyDescent="0.45">
      <c r="A24" t="s">
        <v>49</v>
      </c>
      <c r="B24">
        <v>120</v>
      </c>
      <c r="C24">
        <v>2</v>
      </c>
      <c r="D24">
        <v>200</v>
      </c>
      <c r="E24">
        <v>3</v>
      </c>
      <c r="F24" t="s">
        <v>21</v>
      </c>
      <c r="G24" t="s">
        <v>58</v>
      </c>
    </row>
    <row r="25" spans="1:7" x14ac:dyDescent="0.45">
      <c r="A25" t="s">
        <v>50</v>
      </c>
      <c r="B25">
        <v>60</v>
      </c>
      <c r="C25">
        <v>1</v>
      </c>
      <c r="D25">
        <v>120</v>
      </c>
      <c r="E25">
        <v>3</v>
      </c>
      <c r="F25" t="s">
        <v>21</v>
      </c>
      <c r="G25" t="s">
        <v>58</v>
      </c>
    </row>
    <row r="26" spans="1:7" x14ac:dyDescent="0.45">
      <c r="A26" t="s">
        <v>51</v>
      </c>
      <c r="B26">
        <v>200</v>
      </c>
      <c r="C26">
        <v>11</v>
      </c>
      <c r="D26">
        <v>200</v>
      </c>
      <c r="E26">
        <v>1</v>
      </c>
      <c r="F26" t="s">
        <v>21</v>
      </c>
      <c r="G26" t="s">
        <v>58</v>
      </c>
    </row>
    <row r="27" spans="1:7" x14ac:dyDescent="0.45">
      <c r="A27" t="s">
        <v>52</v>
      </c>
      <c r="B27">
        <v>300</v>
      </c>
      <c r="C27">
        <v>3</v>
      </c>
      <c r="D27">
        <v>300</v>
      </c>
      <c r="E27">
        <v>3</v>
      </c>
      <c r="F27" t="s">
        <v>21</v>
      </c>
      <c r="G27" t="s">
        <v>58</v>
      </c>
    </row>
    <row r="28" spans="1:7" x14ac:dyDescent="0.45">
      <c r="A28" s="25"/>
      <c r="B28" s="25"/>
      <c r="C28" s="25"/>
      <c r="D28" s="25"/>
      <c r="E28" s="25"/>
      <c r="F28" s="25"/>
      <c r="G28" s="25"/>
    </row>
    <row r="29" spans="1:7" x14ac:dyDescent="0.45">
      <c r="A29" s="25"/>
      <c r="B29" s="25"/>
      <c r="C29" s="25"/>
      <c r="D29" s="25"/>
      <c r="E29" s="25"/>
      <c r="F29" s="25"/>
      <c r="G29" s="25"/>
    </row>
    <row r="30" spans="1:7" x14ac:dyDescent="0.45">
      <c r="A30" s="25"/>
      <c r="B30" s="25"/>
      <c r="C30" s="25"/>
      <c r="D30" s="25"/>
      <c r="E30" s="25"/>
      <c r="F30" s="25"/>
      <c r="G30" s="25"/>
    </row>
    <row r="31" spans="1:7" x14ac:dyDescent="0.45">
      <c r="A31" s="25"/>
      <c r="B31" s="25"/>
      <c r="C31" s="25"/>
      <c r="D31" s="25"/>
      <c r="E31" s="25"/>
      <c r="F31" s="25"/>
      <c r="G31" s="25"/>
    </row>
    <row r="32" spans="1:7" x14ac:dyDescent="0.45">
      <c r="A32" s="25"/>
      <c r="B32" s="25"/>
      <c r="C32" s="25"/>
      <c r="D32" s="25"/>
      <c r="E32" s="25"/>
      <c r="F32" s="25"/>
      <c r="G32" s="25"/>
    </row>
    <row r="33" spans="1:7" x14ac:dyDescent="0.45">
      <c r="A33" s="25"/>
      <c r="B33" s="25"/>
      <c r="C33" s="25"/>
      <c r="D33" s="25"/>
      <c r="E33" s="25"/>
      <c r="F33" s="25"/>
      <c r="G33" s="25"/>
    </row>
    <row r="34" spans="1:7" x14ac:dyDescent="0.45">
      <c r="A34" s="25"/>
      <c r="B34" s="25"/>
      <c r="C34" s="25"/>
      <c r="D34" s="25"/>
      <c r="E34" s="25"/>
      <c r="F34" s="25"/>
      <c r="G34" s="25"/>
    </row>
    <row r="39" spans="1:7" x14ac:dyDescent="0.45">
      <c r="A39" s="10" t="s">
        <v>32</v>
      </c>
      <c r="B39" s="9" t="s">
        <v>31</v>
      </c>
      <c r="C39" s="9" t="s">
        <v>33</v>
      </c>
      <c r="D39" s="9" t="s">
        <v>34</v>
      </c>
      <c r="E39" s="9" t="s">
        <v>35</v>
      </c>
    </row>
    <row r="40" spans="1:7" x14ac:dyDescent="0.45">
      <c r="A40" s="7" t="s">
        <v>36</v>
      </c>
      <c r="B40" s="8">
        <f>K4</f>
        <v>5285</v>
      </c>
      <c r="C40" s="8">
        <f>K5</f>
        <v>5925</v>
      </c>
      <c r="D40" s="8">
        <f>K7</f>
        <v>82</v>
      </c>
      <c r="E40" s="8">
        <f>K8</f>
        <v>72</v>
      </c>
    </row>
    <row r="41" spans="1:7" x14ac:dyDescent="0.45">
      <c r="A41" s="22" t="s">
        <v>7</v>
      </c>
      <c r="B41" s="4">
        <f t="shared" ref="B41:B73" si="0">B40-B2</f>
        <v>5270</v>
      </c>
      <c r="C41" s="4">
        <f t="shared" ref="C41:C73" si="1">C40-D2</f>
        <v>5920</v>
      </c>
      <c r="D41" s="4">
        <f t="shared" ref="D41:D73" si="2">D40-C2</f>
        <v>81</v>
      </c>
      <c r="E41" s="4">
        <f t="shared" ref="E41:E73" si="3">E40-E2</f>
        <v>71</v>
      </c>
    </row>
    <row r="42" spans="1:7" x14ac:dyDescent="0.45">
      <c r="A42" s="23" t="s">
        <v>8</v>
      </c>
      <c r="B42" s="6">
        <f t="shared" si="0"/>
        <v>5255</v>
      </c>
      <c r="C42" s="6">
        <f t="shared" si="1"/>
        <v>5915</v>
      </c>
      <c r="D42" s="6">
        <f t="shared" si="2"/>
        <v>80</v>
      </c>
      <c r="E42" s="6">
        <f t="shared" si="3"/>
        <v>70</v>
      </c>
    </row>
    <row r="43" spans="1:7" x14ac:dyDescent="0.45">
      <c r="A43" s="22" t="s">
        <v>22</v>
      </c>
      <c r="B43" s="4">
        <f t="shared" si="0"/>
        <v>5240</v>
      </c>
      <c r="C43" s="4">
        <f t="shared" si="1"/>
        <v>5855</v>
      </c>
      <c r="D43" s="4">
        <f t="shared" si="2"/>
        <v>78</v>
      </c>
      <c r="E43" s="4">
        <f t="shared" si="3"/>
        <v>68</v>
      </c>
    </row>
    <row r="44" spans="1:7" x14ac:dyDescent="0.45">
      <c r="A44" s="23" t="s">
        <v>37</v>
      </c>
      <c r="B44" s="6">
        <f t="shared" si="0"/>
        <v>5225</v>
      </c>
      <c r="C44" s="6">
        <f>C43-D5</f>
        <v>5795</v>
      </c>
      <c r="D44" s="6">
        <f t="shared" si="2"/>
        <v>77</v>
      </c>
      <c r="E44" s="6">
        <f t="shared" si="3"/>
        <v>65</v>
      </c>
    </row>
    <row r="45" spans="1:7" x14ac:dyDescent="0.45">
      <c r="A45" s="22" t="s">
        <v>38</v>
      </c>
      <c r="B45" s="4">
        <f t="shared" si="0"/>
        <v>5195</v>
      </c>
      <c r="C45" s="4">
        <f t="shared" si="1"/>
        <v>5650</v>
      </c>
      <c r="D45" s="4">
        <f t="shared" si="2"/>
        <v>74</v>
      </c>
      <c r="E45" s="4">
        <f t="shared" si="3"/>
        <v>61</v>
      </c>
    </row>
    <row r="46" spans="1:7" x14ac:dyDescent="0.45">
      <c r="A46" s="23" t="s">
        <v>23</v>
      </c>
      <c r="B46" s="6">
        <f t="shared" si="0"/>
        <v>5165</v>
      </c>
      <c r="C46" s="6">
        <f t="shared" si="1"/>
        <v>5530</v>
      </c>
      <c r="D46" s="6">
        <f t="shared" si="2"/>
        <v>71</v>
      </c>
      <c r="E46" s="6">
        <f t="shared" si="3"/>
        <v>57</v>
      </c>
    </row>
    <row r="47" spans="1:7" x14ac:dyDescent="0.45">
      <c r="A47" s="22" t="s">
        <v>24</v>
      </c>
      <c r="B47" s="4">
        <f t="shared" si="0"/>
        <v>5135</v>
      </c>
      <c r="C47" s="4">
        <f t="shared" si="1"/>
        <v>5350</v>
      </c>
      <c r="D47" s="4">
        <f t="shared" si="2"/>
        <v>67</v>
      </c>
      <c r="E47" s="4">
        <f t="shared" si="3"/>
        <v>52</v>
      </c>
    </row>
    <row r="48" spans="1:7" x14ac:dyDescent="0.45">
      <c r="A48" s="23" t="s">
        <v>39</v>
      </c>
      <c r="B48" s="6">
        <f t="shared" si="0"/>
        <v>4635</v>
      </c>
      <c r="C48" s="6">
        <f t="shared" si="1"/>
        <v>5350</v>
      </c>
      <c r="D48" s="6">
        <f t="shared" si="2"/>
        <v>64</v>
      </c>
      <c r="E48" s="6">
        <f t="shared" si="3"/>
        <v>52</v>
      </c>
    </row>
    <row r="49" spans="1:5" x14ac:dyDescent="0.45">
      <c r="A49" s="22" t="s">
        <v>43</v>
      </c>
      <c r="B49" s="4">
        <f t="shared" si="0"/>
        <v>4235</v>
      </c>
      <c r="C49" s="4">
        <f t="shared" si="1"/>
        <v>5350</v>
      </c>
      <c r="D49" s="4">
        <f t="shared" si="2"/>
        <v>61</v>
      </c>
      <c r="E49" s="4">
        <f t="shared" si="3"/>
        <v>52</v>
      </c>
    </row>
    <row r="50" spans="1:5" x14ac:dyDescent="0.45">
      <c r="A50" s="23" t="s">
        <v>39</v>
      </c>
      <c r="B50" s="6">
        <f t="shared" si="0"/>
        <v>3935</v>
      </c>
      <c r="C50" s="6">
        <f t="shared" si="1"/>
        <v>3850</v>
      </c>
      <c r="D50" s="6">
        <f t="shared" si="2"/>
        <v>57</v>
      </c>
      <c r="E50" s="6">
        <f t="shared" si="3"/>
        <v>47</v>
      </c>
    </row>
    <row r="51" spans="1:5" x14ac:dyDescent="0.45">
      <c r="A51" s="22" t="s">
        <v>40</v>
      </c>
      <c r="B51" s="4">
        <f t="shared" si="0"/>
        <v>3815</v>
      </c>
      <c r="C51" s="4">
        <f t="shared" si="1"/>
        <v>3650</v>
      </c>
      <c r="D51" s="4">
        <f t="shared" si="2"/>
        <v>54</v>
      </c>
      <c r="E51" s="4">
        <f t="shared" si="3"/>
        <v>44</v>
      </c>
    </row>
    <row r="52" spans="1:5" x14ac:dyDescent="0.45">
      <c r="A52" s="23" t="s">
        <v>41</v>
      </c>
      <c r="B52" s="6">
        <f t="shared" si="0"/>
        <v>3015</v>
      </c>
      <c r="C52" s="6">
        <f t="shared" si="1"/>
        <v>2650</v>
      </c>
      <c r="D52" s="6">
        <f t="shared" si="2"/>
        <v>49</v>
      </c>
      <c r="E52" s="6">
        <f t="shared" si="3"/>
        <v>39</v>
      </c>
    </row>
    <row r="53" spans="1:5" x14ac:dyDescent="0.45">
      <c r="A53" s="22" t="s">
        <v>27</v>
      </c>
      <c r="B53" s="4">
        <f t="shared" si="0"/>
        <v>3000</v>
      </c>
      <c r="C53" s="4">
        <f t="shared" si="1"/>
        <v>2620</v>
      </c>
      <c r="D53" s="4">
        <f t="shared" si="2"/>
        <v>47</v>
      </c>
      <c r="E53" s="4">
        <f t="shared" si="3"/>
        <v>36</v>
      </c>
    </row>
    <row r="54" spans="1:5" x14ac:dyDescent="0.45">
      <c r="A54" s="23" t="s">
        <v>42</v>
      </c>
      <c r="B54" s="6">
        <f t="shared" si="0"/>
        <v>2940</v>
      </c>
      <c r="C54" s="6">
        <f t="shared" si="1"/>
        <v>2500</v>
      </c>
      <c r="D54" s="6">
        <f t="shared" si="2"/>
        <v>45</v>
      </c>
      <c r="E54" s="6">
        <f t="shared" si="3"/>
        <v>33</v>
      </c>
    </row>
    <row r="55" spans="1:5" x14ac:dyDescent="0.45">
      <c r="A55" s="22" t="s">
        <v>44</v>
      </c>
      <c r="B55" s="4">
        <f t="shared" si="0"/>
        <v>2880</v>
      </c>
      <c r="C55" s="4">
        <f t="shared" si="1"/>
        <v>2500</v>
      </c>
      <c r="D55" s="4">
        <f t="shared" si="2"/>
        <v>42</v>
      </c>
      <c r="E55" s="4">
        <f t="shared" si="3"/>
        <v>33</v>
      </c>
    </row>
    <row r="56" spans="1:5" x14ac:dyDescent="0.45">
      <c r="A56" s="23" t="s">
        <v>45</v>
      </c>
      <c r="B56" s="6">
        <f t="shared" si="0"/>
        <v>2380</v>
      </c>
      <c r="C56" s="6">
        <f t="shared" si="1"/>
        <v>2500</v>
      </c>
      <c r="D56" s="6">
        <f t="shared" si="2"/>
        <v>37</v>
      </c>
      <c r="E56" s="6">
        <f t="shared" si="3"/>
        <v>33</v>
      </c>
    </row>
    <row r="57" spans="1:5" x14ac:dyDescent="0.45">
      <c r="A57" s="22" t="s">
        <v>41</v>
      </c>
      <c r="B57" s="4">
        <f t="shared" si="0"/>
        <v>1880</v>
      </c>
      <c r="C57" s="4">
        <f t="shared" si="1"/>
        <v>1700</v>
      </c>
      <c r="D57" s="4">
        <f t="shared" si="2"/>
        <v>32</v>
      </c>
      <c r="E57" s="4">
        <f t="shared" si="3"/>
        <v>28</v>
      </c>
    </row>
    <row r="58" spans="1:5" x14ac:dyDescent="0.45">
      <c r="A58" s="23" t="s">
        <v>46</v>
      </c>
      <c r="B58" s="6">
        <f t="shared" si="0"/>
        <v>1760</v>
      </c>
      <c r="C58" s="6">
        <f t="shared" si="1"/>
        <v>1580</v>
      </c>
      <c r="D58" s="6">
        <f t="shared" si="2"/>
        <v>29</v>
      </c>
      <c r="E58" s="6">
        <f t="shared" si="3"/>
        <v>25</v>
      </c>
    </row>
    <row r="59" spans="1:5" x14ac:dyDescent="0.45">
      <c r="A59" s="22" t="s">
        <v>28</v>
      </c>
      <c r="B59" s="4">
        <f t="shared" si="0"/>
        <v>1640</v>
      </c>
      <c r="C59" s="4">
        <f t="shared" si="1"/>
        <v>1580</v>
      </c>
      <c r="D59" s="4">
        <f t="shared" si="2"/>
        <v>25</v>
      </c>
      <c r="E59" s="4">
        <f t="shared" si="3"/>
        <v>20</v>
      </c>
    </row>
    <row r="60" spans="1:5" x14ac:dyDescent="0.45">
      <c r="A60" s="23" t="s">
        <v>28</v>
      </c>
      <c r="B60" s="6">
        <f t="shared" si="0"/>
        <v>1580</v>
      </c>
      <c r="C60" s="6">
        <f t="shared" si="1"/>
        <v>1460</v>
      </c>
      <c r="D60" s="6">
        <f t="shared" si="2"/>
        <v>21</v>
      </c>
      <c r="E60" s="6">
        <f t="shared" si="3"/>
        <v>15</v>
      </c>
    </row>
    <row r="61" spans="1:5" x14ac:dyDescent="0.45">
      <c r="A61" s="22" t="s">
        <v>47</v>
      </c>
      <c r="B61" s="4">
        <f t="shared" si="0"/>
        <v>1180</v>
      </c>
      <c r="C61" s="4">
        <f t="shared" si="1"/>
        <v>1140</v>
      </c>
      <c r="D61" s="4">
        <f t="shared" si="2"/>
        <v>19</v>
      </c>
      <c r="E61" s="4">
        <f t="shared" si="3"/>
        <v>12</v>
      </c>
    </row>
    <row r="62" spans="1:5" x14ac:dyDescent="0.45">
      <c r="A62" s="23" t="s">
        <v>48</v>
      </c>
      <c r="B62" s="6">
        <f t="shared" si="0"/>
        <v>680</v>
      </c>
      <c r="C62" s="6">
        <f t="shared" si="1"/>
        <v>820</v>
      </c>
      <c r="D62" s="6">
        <f t="shared" si="2"/>
        <v>17</v>
      </c>
      <c r="E62" s="6">
        <f t="shared" si="3"/>
        <v>10</v>
      </c>
    </row>
    <row r="63" spans="1:5" x14ac:dyDescent="0.45">
      <c r="A63" s="22" t="s">
        <v>49</v>
      </c>
      <c r="B63" s="4">
        <f t="shared" si="0"/>
        <v>560</v>
      </c>
      <c r="C63" s="4">
        <f t="shared" si="1"/>
        <v>620</v>
      </c>
      <c r="D63" s="4">
        <f t="shared" si="2"/>
        <v>15</v>
      </c>
      <c r="E63" s="4">
        <f t="shared" si="3"/>
        <v>7</v>
      </c>
    </row>
    <row r="64" spans="1:5" x14ac:dyDescent="0.45">
      <c r="A64" s="23" t="s">
        <v>50</v>
      </c>
      <c r="B64" s="6">
        <f t="shared" si="0"/>
        <v>500</v>
      </c>
      <c r="C64" s="6">
        <f t="shared" si="1"/>
        <v>500</v>
      </c>
      <c r="D64" s="6">
        <f t="shared" si="2"/>
        <v>14</v>
      </c>
      <c r="E64" s="6">
        <f t="shared" si="3"/>
        <v>4</v>
      </c>
    </row>
    <row r="65" spans="1:5" x14ac:dyDescent="0.45">
      <c r="A65" s="22" t="s">
        <v>51</v>
      </c>
      <c r="B65" s="4">
        <f t="shared" si="0"/>
        <v>300</v>
      </c>
      <c r="C65" s="4">
        <f t="shared" si="1"/>
        <v>300</v>
      </c>
      <c r="D65" s="4">
        <f t="shared" si="2"/>
        <v>3</v>
      </c>
      <c r="E65" s="4">
        <f t="shared" si="3"/>
        <v>3</v>
      </c>
    </row>
    <row r="66" spans="1:5" x14ac:dyDescent="0.45">
      <c r="A66" s="28" t="s">
        <v>52</v>
      </c>
      <c r="B66" s="12">
        <f t="shared" si="0"/>
        <v>0</v>
      </c>
      <c r="C66" s="12">
        <f t="shared" si="1"/>
        <v>0</v>
      </c>
      <c r="D66" s="12">
        <f t="shared" si="2"/>
        <v>0</v>
      </c>
      <c r="E66" s="12">
        <f t="shared" si="3"/>
        <v>0</v>
      </c>
    </row>
    <row r="67" spans="1:5" x14ac:dyDescent="0.45">
      <c r="A67" s="24"/>
      <c r="B67" s="24"/>
      <c r="C67" s="24"/>
      <c r="D67" s="24"/>
      <c r="E67" s="24"/>
    </row>
    <row r="68" spans="1:5" x14ac:dyDescent="0.45">
      <c r="A68" s="25"/>
      <c r="B68" s="25"/>
      <c r="C68" s="25"/>
      <c r="D68" s="25"/>
      <c r="E68" s="25"/>
    </row>
    <row r="69" spans="1:5" x14ac:dyDescent="0.45">
      <c r="A69" s="24"/>
      <c r="B69" s="24"/>
      <c r="C69" s="24"/>
      <c r="D69" s="24"/>
      <c r="E69" s="24"/>
    </row>
    <row r="70" spans="1:5" x14ac:dyDescent="0.45">
      <c r="A70" s="25"/>
      <c r="B70" s="25"/>
      <c r="C70" s="25"/>
      <c r="D70" s="25"/>
      <c r="E70" s="25"/>
    </row>
    <row r="71" spans="1:5" x14ac:dyDescent="0.45">
      <c r="A71" s="24"/>
      <c r="B71" s="24"/>
      <c r="C71" s="24"/>
      <c r="D71" s="24"/>
      <c r="E71" s="24"/>
    </row>
    <row r="72" spans="1:5" x14ac:dyDescent="0.45">
      <c r="A72" s="25"/>
      <c r="B72" s="25"/>
      <c r="C72" s="25"/>
      <c r="D72" s="25"/>
      <c r="E72" s="25"/>
    </row>
    <row r="73" spans="1:5" x14ac:dyDescent="0.45">
      <c r="A73" s="24"/>
      <c r="B73" s="24"/>
      <c r="C73" s="24"/>
      <c r="D73" s="24"/>
      <c r="E73" s="24"/>
    </row>
  </sheetData>
  <conditionalFormatting sqref="F28:F34">
    <cfRule type="cellIs" dxfId="44" priority="21" operator="equal">
      <formula>"Moved to Next Sprint"</formula>
    </cfRule>
    <cfRule type="cellIs" dxfId="43" priority="22" operator="equal">
      <formula>"Scrapped"</formula>
    </cfRule>
    <cfRule type="cellIs" dxfId="42" priority="23" operator="equal">
      <formula>"In progress"</formula>
    </cfRule>
    <cfRule type="cellIs" dxfId="41" priority="24" operator="equal">
      <formula>"Yes"</formula>
    </cfRule>
    <cfRule type="cellIs" dxfId="40" priority="25" operator="equal">
      <formula>"No"</formula>
    </cfRule>
  </conditionalFormatting>
  <conditionalFormatting sqref="F2:F10">
    <cfRule type="cellIs" dxfId="19" priority="16" operator="equal">
      <formula>"Moved to Next Sprint"</formula>
    </cfRule>
    <cfRule type="cellIs" dxfId="18" priority="17" operator="equal">
      <formula>"Scrapped"</formula>
    </cfRule>
    <cfRule type="cellIs" dxfId="17" priority="18" operator="equal">
      <formula>"In progress"</formula>
    </cfRule>
    <cfRule type="cellIs" dxfId="16" priority="19" operator="equal">
      <formula>"Yes"</formula>
    </cfRule>
    <cfRule type="cellIs" dxfId="15" priority="20" operator="equal">
      <formula>"No"</formula>
    </cfRule>
  </conditionalFormatting>
  <conditionalFormatting sqref="F11:F17">
    <cfRule type="cellIs" dxfId="14" priority="11" operator="equal">
      <formula>"Moved to Next Sprint"</formula>
    </cfRule>
    <cfRule type="cellIs" dxfId="13" priority="12" operator="equal">
      <formula>"Scrapped"</formula>
    </cfRule>
    <cfRule type="cellIs" dxfId="12" priority="13" operator="equal">
      <formula>"In progress"</formula>
    </cfRule>
    <cfRule type="cellIs" dxfId="11" priority="14" operator="equal">
      <formula>"Yes"</formula>
    </cfRule>
    <cfRule type="cellIs" dxfId="10" priority="15" operator="equal">
      <formula>"No"</formula>
    </cfRule>
  </conditionalFormatting>
  <conditionalFormatting sqref="F18:F20">
    <cfRule type="cellIs" dxfId="9" priority="6" operator="equal">
      <formula>"Moved to Next Sprint"</formula>
    </cfRule>
    <cfRule type="cellIs" dxfId="8" priority="7" operator="equal">
      <formula>"Scrapped"</formula>
    </cfRule>
    <cfRule type="cellIs" dxfId="7" priority="8" operator="equal">
      <formula>"In progress"</formula>
    </cfRule>
    <cfRule type="cellIs" dxfId="6" priority="9" operator="equal">
      <formula>"Yes"</formula>
    </cfRule>
    <cfRule type="cellIs" dxfId="5" priority="10" operator="equal">
      <formula>"No"</formula>
    </cfRule>
  </conditionalFormatting>
  <conditionalFormatting sqref="F21:F27">
    <cfRule type="cellIs" dxfId="4" priority="1" operator="equal">
      <formula>"Moved to Next Sprint"</formula>
    </cfRule>
    <cfRule type="cellIs" dxfId="3" priority="2" operator="equal">
      <formula>"Scrapped"</formula>
    </cfRule>
    <cfRule type="cellIs" dxfId="2" priority="3" operator="equal">
      <formula>"In progress"</formula>
    </cfRule>
    <cfRule type="cellIs" dxfId="1" priority="4" operator="equal">
      <formula>"Yes"</formula>
    </cfRule>
    <cfRule type="cellIs" dxfId="0" priority="5" operator="equal">
      <formula>"No"</formula>
    </cfRule>
  </conditionalFormatting>
  <dataValidations count="1">
    <dataValidation type="list" allowBlank="1" showInputMessage="1" showErrorMessage="1" sqref="F2:F27" xr:uid="{D03D2713-BDC0-4F51-A650-D3A04DC506FD}">
      <formula1>"Yes, No, In Progress, Scrapped, Moved to Next Sprint"</formula1>
    </dataValidation>
  </dataValidations>
  <pageMargins left="0.7" right="0.7" top="0.75" bottom="0.75" header="0.3" footer="0.3"/>
  <pageSetup paperSize="9" orientation="portrait" horizontalDpi="1200" verticalDpi="1200"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2E453-DA67-472D-AC43-5A3BF3EC8420}">
  <dimension ref="A1:I31"/>
  <sheetViews>
    <sheetView workbookViewId="0">
      <selection activeCell="R10" sqref="R10"/>
    </sheetView>
  </sheetViews>
  <sheetFormatPr defaultRowHeight="14.25" x14ac:dyDescent="0.45"/>
  <cols>
    <col min="1" max="1" width="37.86328125" customWidth="1"/>
    <col min="2" max="2" width="27.59765625" customWidth="1"/>
    <col min="3" max="3" width="22.59765625" customWidth="1"/>
    <col min="4" max="4" width="24.73046875" customWidth="1"/>
    <col min="5" max="5" width="19.73046875" customWidth="1"/>
    <col min="6" max="6" width="19" bestFit="1" customWidth="1"/>
    <col min="8" max="8" width="37.3984375" bestFit="1" customWidth="1"/>
    <col min="9" max="9" width="17.73046875" bestFit="1" customWidth="1"/>
  </cols>
  <sheetData>
    <row r="1" spans="1:6" x14ac:dyDescent="0.45">
      <c r="A1" t="s">
        <v>13</v>
      </c>
    </row>
    <row r="2" spans="1:6" x14ac:dyDescent="0.45">
      <c r="A2" s="1" t="s">
        <v>0</v>
      </c>
      <c r="B2" s="2" t="s">
        <v>1</v>
      </c>
      <c r="C2" s="2" t="s">
        <v>2</v>
      </c>
      <c r="D2" s="2" t="s">
        <v>3</v>
      </c>
      <c r="E2" s="2" t="s">
        <v>4</v>
      </c>
      <c r="F2" s="2" t="s">
        <v>5</v>
      </c>
    </row>
    <row r="3" spans="1:6" x14ac:dyDescent="0.45">
      <c r="A3" s="3" t="s">
        <v>7</v>
      </c>
      <c r="B3">
        <v>15</v>
      </c>
      <c r="C3">
        <v>1</v>
      </c>
      <c r="D3">
        <v>5</v>
      </c>
      <c r="E3">
        <v>1</v>
      </c>
      <c r="F3" t="s">
        <v>21</v>
      </c>
    </row>
    <row r="4" spans="1:6" x14ac:dyDescent="0.45">
      <c r="A4" s="5" t="s">
        <v>8</v>
      </c>
      <c r="B4">
        <v>15</v>
      </c>
      <c r="C4">
        <v>1</v>
      </c>
      <c r="D4">
        <v>5</v>
      </c>
      <c r="E4">
        <v>1</v>
      </c>
      <c r="F4" t="s">
        <v>21</v>
      </c>
    </row>
    <row r="5" spans="1:6" x14ac:dyDescent="0.45">
      <c r="A5" s="3" t="s">
        <v>22</v>
      </c>
      <c r="B5">
        <v>15</v>
      </c>
      <c r="C5">
        <v>2</v>
      </c>
      <c r="D5">
        <v>60</v>
      </c>
      <c r="E5">
        <v>2</v>
      </c>
      <c r="F5" t="s">
        <v>21</v>
      </c>
    </row>
    <row r="6" spans="1:6" x14ac:dyDescent="0.45">
      <c r="A6" s="5" t="s">
        <v>37</v>
      </c>
      <c r="B6">
        <v>15</v>
      </c>
      <c r="C6">
        <v>1</v>
      </c>
      <c r="D6">
        <v>60</v>
      </c>
      <c r="E6">
        <v>3</v>
      </c>
      <c r="F6" t="s">
        <v>21</v>
      </c>
    </row>
    <row r="7" spans="1:6" x14ac:dyDescent="0.45">
      <c r="A7" s="3" t="s">
        <v>38</v>
      </c>
      <c r="B7">
        <v>30</v>
      </c>
      <c r="C7">
        <v>3</v>
      </c>
      <c r="D7">
        <v>145</v>
      </c>
      <c r="E7">
        <v>4</v>
      </c>
      <c r="F7" t="s">
        <v>21</v>
      </c>
    </row>
    <row r="8" spans="1:6" x14ac:dyDescent="0.45">
      <c r="A8" s="5" t="s">
        <v>23</v>
      </c>
      <c r="B8">
        <v>30</v>
      </c>
      <c r="C8">
        <v>3</v>
      </c>
      <c r="D8">
        <v>120</v>
      </c>
      <c r="E8">
        <v>4</v>
      </c>
      <c r="F8" t="s">
        <v>21</v>
      </c>
    </row>
    <row r="9" spans="1:6" x14ac:dyDescent="0.45">
      <c r="A9" s="3" t="s">
        <v>24</v>
      </c>
      <c r="B9">
        <v>30</v>
      </c>
      <c r="C9">
        <v>4</v>
      </c>
      <c r="D9">
        <v>180</v>
      </c>
      <c r="E9">
        <v>5</v>
      </c>
      <c r="F9" t="s">
        <v>21</v>
      </c>
    </row>
    <row r="10" spans="1:6" x14ac:dyDescent="0.45">
      <c r="A10" s="14" t="s">
        <v>39</v>
      </c>
      <c r="B10">
        <v>500</v>
      </c>
      <c r="C10">
        <v>3</v>
      </c>
      <c r="F10" t="s">
        <v>29</v>
      </c>
    </row>
    <row r="11" spans="1:6" x14ac:dyDescent="0.45">
      <c r="A11" t="s">
        <v>43</v>
      </c>
      <c r="B11" s="26">
        <v>400</v>
      </c>
      <c r="C11" s="26">
        <v>3</v>
      </c>
      <c r="D11" s="26"/>
      <c r="E11" s="26"/>
      <c r="F11" s="26" t="s">
        <v>26</v>
      </c>
    </row>
    <row r="12" spans="1:6" x14ac:dyDescent="0.45">
      <c r="A12" s="25"/>
      <c r="B12" s="25"/>
      <c r="C12" s="25"/>
      <c r="D12" s="25"/>
      <c r="E12" s="25"/>
      <c r="F12" s="25"/>
    </row>
    <row r="19" spans="1:9" x14ac:dyDescent="0.45">
      <c r="A19" s="10" t="s">
        <v>32</v>
      </c>
      <c r="B19" s="9" t="s">
        <v>31</v>
      </c>
      <c r="C19" s="9" t="s">
        <v>33</v>
      </c>
      <c r="D19" s="9" t="s">
        <v>34</v>
      </c>
      <c r="E19" s="9" t="s">
        <v>35</v>
      </c>
      <c r="H19" t="s">
        <v>14</v>
      </c>
      <c r="I19">
        <f>SUM(Table2[Expected Completion Time])</f>
        <v>1050</v>
      </c>
    </row>
    <row r="20" spans="1:9" x14ac:dyDescent="0.45">
      <c r="A20" s="11" t="s">
        <v>36</v>
      </c>
      <c r="B20" s="15">
        <f>I19</f>
        <v>1050</v>
      </c>
      <c r="C20" s="15">
        <f>I20</f>
        <v>575</v>
      </c>
      <c r="D20" s="15">
        <f>I22</f>
        <v>21</v>
      </c>
      <c r="E20" s="15">
        <f>I23</f>
        <v>20</v>
      </c>
      <c r="H20" t="s">
        <v>15</v>
      </c>
      <c r="I20">
        <f>SUM(Table2[Actual Completion Time])</f>
        <v>575</v>
      </c>
    </row>
    <row r="21" spans="1:9" x14ac:dyDescent="0.45">
      <c r="A21" s="3" t="s">
        <v>7</v>
      </c>
      <c r="B21" s="4">
        <f>I19-B3</f>
        <v>1035</v>
      </c>
      <c r="C21" s="4">
        <f t="shared" ref="C21:C30" si="0">C20-D3</f>
        <v>570</v>
      </c>
      <c r="D21" s="4">
        <f t="shared" ref="D21:D30" si="1">D20-C3</f>
        <v>20</v>
      </c>
      <c r="E21" s="4">
        <f t="shared" ref="E21:E30" si="2">E20-E3</f>
        <v>19</v>
      </c>
    </row>
    <row r="22" spans="1:9" x14ac:dyDescent="0.45">
      <c r="A22" s="5" t="s">
        <v>8</v>
      </c>
      <c r="B22" s="6">
        <f t="shared" ref="B22:B30" si="3">B21-B4</f>
        <v>1020</v>
      </c>
      <c r="C22" s="6">
        <f t="shared" si="0"/>
        <v>565</v>
      </c>
      <c r="D22" s="6">
        <f t="shared" si="1"/>
        <v>19</v>
      </c>
      <c r="E22" s="6">
        <f t="shared" si="2"/>
        <v>18</v>
      </c>
      <c r="H22" t="s">
        <v>16</v>
      </c>
      <c r="I22">
        <f>SUM(Table2[Expected Effort Value])</f>
        <v>21</v>
      </c>
    </row>
    <row r="23" spans="1:9" x14ac:dyDescent="0.45">
      <c r="A23" s="3" t="s">
        <v>22</v>
      </c>
      <c r="B23" s="4">
        <f t="shared" si="3"/>
        <v>1005</v>
      </c>
      <c r="C23" s="4">
        <f t="shared" si="0"/>
        <v>505</v>
      </c>
      <c r="D23" s="4">
        <f t="shared" si="1"/>
        <v>17</v>
      </c>
      <c r="E23" s="4">
        <f>E22-E5</f>
        <v>16</v>
      </c>
      <c r="H23" t="s">
        <v>17</v>
      </c>
      <c r="I23">
        <f>SUM(Table2[Actual Effort Value])</f>
        <v>20</v>
      </c>
    </row>
    <row r="24" spans="1:9" x14ac:dyDescent="0.45">
      <c r="A24" s="5" t="s">
        <v>37</v>
      </c>
      <c r="B24" s="6">
        <f t="shared" si="3"/>
        <v>990</v>
      </c>
      <c r="C24" s="6">
        <f t="shared" si="0"/>
        <v>445</v>
      </c>
      <c r="D24" s="6">
        <f t="shared" si="1"/>
        <v>16</v>
      </c>
      <c r="E24" s="6">
        <f t="shared" si="2"/>
        <v>13</v>
      </c>
    </row>
    <row r="25" spans="1:9" x14ac:dyDescent="0.45">
      <c r="A25" s="3" t="s">
        <v>38</v>
      </c>
      <c r="B25" s="4">
        <f t="shared" si="3"/>
        <v>960</v>
      </c>
      <c r="C25" s="4">
        <f t="shared" si="0"/>
        <v>300</v>
      </c>
      <c r="D25" s="4">
        <f t="shared" si="1"/>
        <v>13</v>
      </c>
      <c r="E25" s="4">
        <f t="shared" si="2"/>
        <v>9</v>
      </c>
    </row>
    <row r="26" spans="1:9" x14ac:dyDescent="0.45">
      <c r="A26" s="5" t="s">
        <v>23</v>
      </c>
      <c r="B26" s="6">
        <f t="shared" si="3"/>
        <v>930</v>
      </c>
      <c r="C26" s="6">
        <f t="shared" si="0"/>
        <v>180</v>
      </c>
      <c r="D26" s="6">
        <f t="shared" si="1"/>
        <v>10</v>
      </c>
      <c r="E26" s="6">
        <f t="shared" si="2"/>
        <v>5</v>
      </c>
    </row>
    <row r="27" spans="1:9" x14ac:dyDescent="0.45">
      <c r="A27" s="3" t="s">
        <v>24</v>
      </c>
      <c r="B27" s="4">
        <f t="shared" si="3"/>
        <v>900</v>
      </c>
      <c r="C27" s="4">
        <f t="shared" si="0"/>
        <v>0</v>
      </c>
      <c r="D27" s="4">
        <f t="shared" si="1"/>
        <v>6</v>
      </c>
      <c r="E27" s="4">
        <f t="shared" si="2"/>
        <v>0</v>
      </c>
    </row>
    <row r="28" spans="1:9" x14ac:dyDescent="0.45">
      <c r="A28" s="14" t="s">
        <v>39</v>
      </c>
      <c r="B28" s="12">
        <f>B27-B10</f>
        <v>400</v>
      </c>
      <c r="C28" s="12">
        <f>C27-D10</f>
        <v>0</v>
      </c>
      <c r="D28" s="12">
        <f>D27-C10</f>
        <v>3</v>
      </c>
      <c r="E28" s="12">
        <f>E27-E10</f>
        <v>0</v>
      </c>
    </row>
    <row r="29" spans="1:9" x14ac:dyDescent="0.45">
      <c r="A29" s="24"/>
      <c r="B29" s="24"/>
      <c r="C29" s="24"/>
      <c r="D29" s="24"/>
      <c r="E29" s="24"/>
    </row>
    <row r="30" spans="1:9" x14ac:dyDescent="0.45">
      <c r="A30" s="25"/>
      <c r="B30" s="25"/>
      <c r="C30" s="25"/>
      <c r="D30" s="25"/>
      <c r="E30" s="25"/>
    </row>
    <row r="31" spans="1:9" x14ac:dyDescent="0.45">
      <c r="A31" s="13"/>
    </row>
  </sheetData>
  <conditionalFormatting sqref="F3:F12">
    <cfRule type="cellIs" dxfId="39" priority="1" operator="equal">
      <formula>"Moved to Next Sprint"</formula>
    </cfRule>
    <cfRule type="cellIs" dxfId="38" priority="2" operator="equal">
      <formula>"Scrapped"</formula>
    </cfRule>
    <cfRule type="cellIs" dxfId="37" priority="3" operator="equal">
      <formula>"In progress"</formula>
    </cfRule>
    <cfRule type="cellIs" dxfId="36" priority="4" operator="equal">
      <formula>"Yes"</formula>
    </cfRule>
    <cfRule type="cellIs" dxfId="35" priority="5" operator="equal">
      <formula>"No"</formula>
    </cfRule>
  </conditionalFormatting>
  <dataValidations count="1">
    <dataValidation type="list" allowBlank="1" showInputMessage="1" showErrorMessage="1" sqref="F3:F12" xr:uid="{93BF6216-5ED5-4555-B6C4-8209BACE40BD}">
      <formula1>"Yes, No, In Progress, Scrapped, Moved to Next Sprint"</formula1>
    </dataValidation>
  </dataValidations>
  <pageMargins left="0.7" right="0.7" top="0.75" bottom="0.75" header="0.3" footer="0.3"/>
  <pageSetup paperSize="9" orientation="portrait" horizontalDpi="1200" verticalDpi="1200"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B98C4-6DC6-464D-A42E-88ABC62458D9}">
  <dimension ref="A1:I30"/>
  <sheetViews>
    <sheetView workbookViewId="0">
      <selection activeCell="O7" sqref="O7"/>
    </sheetView>
  </sheetViews>
  <sheetFormatPr defaultRowHeight="14.25" x14ac:dyDescent="0.45"/>
  <cols>
    <col min="1" max="1" width="30.3984375" customWidth="1"/>
    <col min="2" max="2" width="27.59765625" customWidth="1"/>
    <col min="3" max="3" width="22.59765625" customWidth="1"/>
    <col min="4" max="4" width="24.73046875" customWidth="1"/>
    <col min="5" max="5" width="19.73046875" customWidth="1"/>
    <col min="6" max="6" width="17.1328125" customWidth="1"/>
    <col min="8" max="8" width="37.3984375" bestFit="1" customWidth="1"/>
    <col min="9" max="9" width="17.73046875" bestFit="1" customWidth="1"/>
  </cols>
  <sheetData>
    <row r="1" spans="1:6" x14ac:dyDescent="0.45">
      <c r="A1" t="s">
        <v>18</v>
      </c>
    </row>
    <row r="2" spans="1:6" x14ac:dyDescent="0.45">
      <c r="A2" s="1" t="s">
        <v>0</v>
      </c>
      <c r="B2" s="2" t="s">
        <v>1</v>
      </c>
      <c r="C2" s="2" t="s">
        <v>2</v>
      </c>
      <c r="D2" s="2" t="s">
        <v>3</v>
      </c>
      <c r="E2" s="2" t="s">
        <v>4</v>
      </c>
      <c r="F2" s="2" t="s">
        <v>5</v>
      </c>
    </row>
    <row r="3" spans="1:6" x14ac:dyDescent="0.45">
      <c r="A3" t="s">
        <v>39</v>
      </c>
      <c r="B3">
        <v>300</v>
      </c>
      <c r="C3">
        <v>4</v>
      </c>
      <c r="D3">
        <v>1500</v>
      </c>
      <c r="E3">
        <v>5</v>
      </c>
      <c r="F3" t="s">
        <v>21</v>
      </c>
    </row>
    <row r="4" spans="1:6" x14ac:dyDescent="0.45">
      <c r="A4" t="s">
        <v>40</v>
      </c>
      <c r="B4">
        <v>120</v>
      </c>
      <c r="C4">
        <v>3</v>
      </c>
      <c r="D4">
        <v>200</v>
      </c>
      <c r="E4">
        <v>3</v>
      </c>
      <c r="F4" t="s">
        <v>21</v>
      </c>
    </row>
    <row r="5" spans="1:6" x14ac:dyDescent="0.45">
      <c r="A5" t="s">
        <v>41</v>
      </c>
      <c r="B5">
        <v>800</v>
      </c>
      <c r="C5">
        <v>5</v>
      </c>
      <c r="D5">
        <v>1000</v>
      </c>
      <c r="E5">
        <v>5</v>
      </c>
      <c r="F5" t="s">
        <v>25</v>
      </c>
    </row>
    <row r="6" spans="1:6" x14ac:dyDescent="0.45">
      <c r="A6" t="s">
        <v>27</v>
      </c>
      <c r="B6">
        <v>15</v>
      </c>
      <c r="C6">
        <v>2</v>
      </c>
      <c r="D6">
        <v>30</v>
      </c>
      <c r="E6">
        <v>3</v>
      </c>
      <c r="F6" t="s">
        <v>21</v>
      </c>
    </row>
    <row r="7" spans="1:6" x14ac:dyDescent="0.45">
      <c r="A7" t="s">
        <v>42</v>
      </c>
      <c r="B7">
        <v>60</v>
      </c>
      <c r="C7">
        <v>2</v>
      </c>
      <c r="D7">
        <v>120</v>
      </c>
      <c r="E7">
        <v>3</v>
      </c>
      <c r="F7" t="s">
        <v>21</v>
      </c>
    </row>
    <row r="8" spans="1:6" x14ac:dyDescent="0.45">
      <c r="A8" t="s">
        <v>44</v>
      </c>
      <c r="B8">
        <v>60</v>
      </c>
      <c r="C8">
        <v>3</v>
      </c>
      <c r="F8" t="s">
        <v>26</v>
      </c>
    </row>
    <row r="9" spans="1:6" x14ac:dyDescent="0.45">
      <c r="A9" t="s">
        <v>45</v>
      </c>
      <c r="B9">
        <v>500</v>
      </c>
      <c r="C9">
        <v>5</v>
      </c>
      <c r="F9" t="s">
        <v>26</v>
      </c>
    </row>
    <row r="19" spans="1:9" x14ac:dyDescent="0.45">
      <c r="A19" s="10" t="s">
        <v>32</v>
      </c>
      <c r="B19" s="9" t="s">
        <v>31</v>
      </c>
      <c r="C19" s="9" t="s">
        <v>33</v>
      </c>
      <c r="D19" s="9" t="s">
        <v>34</v>
      </c>
      <c r="E19" s="9" t="s">
        <v>35</v>
      </c>
      <c r="H19" t="s">
        <v>14</v>
      </c>
      <c r="I19">
        <f>SUM(Table24[Expected Completion Time])</f>
        <v>1855</v>
      </c>
    </row>
    <row r="20" spans="1:9" x14ac:dyDescent="0.45">
      <c r="A20" s="7" t="s">
        <v>36</v>
      </c>
      <c r="B20" s="15">
        <f>I19</f>
        <v>1855</v>
      </c>
      <c r="C20" s="15">
        <f>I20</f>
        <v>2850</v>
      </c>
      <c r="D20" s="15">
        <f>I22</f>
        <v>24</v>
      </c>
      <c r="E20" s="15">
        <f>I23</f>
        <v>19</v>
      </c>
      <c r="H20" t="s">
        <v>15</v>
      </c>
      <c r="I20">
        <f>SUM(Table24[Actual Completion Time])</f>
        <v>2850</v>
      </c>
    </row>
    <row r="21" spans="1:9" x14ac:dyDescent="0.45">
      <c r="A21" s="22" t="s">
        <v>39</v>
      </c>
      <c r="B21" s="4">
        <f t="shared" ref="B21:B28" si="0">B20-B3</f>
        <v>1555</v>
      </c>
      <c r="C21" s="4">
        <f t="shared" ref="C21:C28" si="1">C20-D3</f>
        <v>1350</v>
      </c>
      <c r="D21" s="4">
        <f t="shared" ref="D21:D28" si="2">D20-C3</f>
        <v>20</v>
      </c>
      <c r="E21" s="4">
        <f t="shared" ref="E21:E28" si="3">E20-E3</f>
        <v>14</v>
      </c>
    </row>
    <row r="22" spans="1:9" x14ac:dyDescent="0.45">
      <c r="A22" s="23" t="s">
        <v>40</v>
      </c>
      <c r="B22" s="6">
        <f t="shared" si="0"/>
        <v>1435</v>
      </c>
      <c r="C22" s="6">
        <f t="shared" si="1"/>
        <v>1150</v>
      </c>
      <c r="D22" s="6">
        <f t="shared" si="2"/>
        <v>17</v>
      </c>
      <c r="E22" s="6">
        <f t="shared" si="3"/>
        <v>11</v>
      </c>
      <c r="H22" t="s">
        <v>16</v>
      </c>
      <c r="I22">
        <f>SUM(Table24[Expected Effort Value])</f>
        <v>24</v>
      </c>
    </row>
    <row r="23" spans="1:9" x14ac:dyDescent="0.45">
      <c r="A23" s="22" t="s">
        <v>41</v>
      </c>
      <c r="B23" s="4">
        <f t="shared" si="0"/>
        <v>635</v>
      </c>
      <c r="C23" s="4">
        <f t="shared" si="1"/>
        <v>150</v>
      </c>
      <c r="D23" s="4">
        <f t="shared" si="2"/>
        <v>12</v>
      </c>
      <c r="E23" s="4">
        <f t="shared" si="3"/>
        <v>6</v>
      </c>
      <c r="H23" t="s">
        <v>17</v>
      </c>
      <c r="I23">
        <f>SUM(Table24[Actual Effort Value])</f>
        <v>19</v>
      </c>
    </row>
    <row r="24" spans="1:9" x14ac:dyDescent="0.45">
      <c r="A24" s="23" t="s">
        <v>27</v>
      </c>
      <c r="B24" s="6">
        <f t="shared" si="0"/>
        <v>620</v>
      </c>
      <c r="C24" s="6">
        <f t="shared" si="1"/>
        <v>120</v>
      </c>
      <c r="D24" s="6">
        <f t="shared" si="2"/>
        <v>10</v>
      </c>
      <c r="E24" s="6">
        <f t="shared" si="3"/>
        <v>3</v>
      </c>
    </row>
    <row r="25" spans="1:9" x14ac:dyDescent="0.45">
      <c r="A25" s="22" t="s">
        <v>42</v>
      </c>
      <c r="B25" s="4">
        <f t="shared" si="0"/>
        <v>560</v>
      </c>
      <c r="C25" s="4">
        <f t="shared" si="1"/>
        <v>0</v>
      </c>
      <c r="D25" s="4">
        <f t="shared" si="2"/>
        <v>8</v>
      </c>
      <c r="E25" s="4">
        <f t="shared" si="3"/>
        <v>0</v>
      </c>
    </row>
    <row r="26" spans="1:9" x14ac:dyDescent="0.45">
      <c r="A26" s="23" t="s">
        <v>44</v>
      </c>
      <c r="B26" s="6">
        <f t="shared" si="0"/>
        <v>500</v>
      </c>
      <c r="C26" s="6">
        <f t="shared" si="1"/>
        <v>0</v>
      </c>
      <c r="D26" s="6">
        <f t="shared" si="2"/>
        <v>5</v>
      </c>
      <c r="E26" s="6">
        <f t="shared" si="3"/>
        <v>0</v>
      </c>
    </row>
    <row r="27" spans="1:9" x14ac:dyDescent="0.45">
      <c r="A27" s="22" t="s">
        <v>45</v>
      </c>
      <c r="B27" s="4">
        <f t="shared" si="0"/>
        <v>0</v>
      </c>
      <c r="C27" s="4">
        <f t="shared" si="1"/>
        <v>0</v>
      </c>
      <c r="D27" s="4">
        <f t="shared" si="2"/>
        <v>0</v>
      </c>
      <c r="E27" s="4">
        <f t="shared" si="3"/>
        <v>0</v>
      </c>
    </row>
    <row r="28" spans="1:9" x14ac:dyDescent="0.45">
      <c r="A28" s="14"/>
      <c r="B28" s="12"/>
      <c r="C28" s="12"/>
      <c r="D28" s="12"/>
      <c r="E28" s="12"/>
    </row>
    <row r="29" spans="1:9" x14ac:dyDescent="0.45">
      <c r="A29" s="17"/>
      <c r="B29" s="18"/>
      <c r="C29" s="18"/>
      <c r="D29" s="18"/>
      <c r="E29" s="18"/>
    </row>
    <row r="30" spans="1:9" x14ac:dyDescent="0.45">
      <c r="A30" s="16"/>
    </row>
  </sheetData>
  <conditionalFormatting sqref="F3:F10">
    <cfRule type="cellIs" dxfId="34" priority="1" operator="equal">
      <formula>"Moved to Next Sprint"</formula>
    </cfRule>
    <cfRule type="cellIs" dxfId="33" priority="2" operator="equal">
      <formula>"Scrapped"</formula>
    </cfRule>
    <cfRule type="cellIs" dxfId="32" priority="3" operator="equal">
      <formula>"In progress"</formula>
    </cfRule>
    <cfRule type="cellIs" dxfId="31" priority="4" operator="equal">
      <formula>"Yes"</formula>
    </cfRule>
    <cfRule type="cellIs" dxfId="30" priority="5" operator="equal">
      <formula>"No"</formula>
    </cfRule>
  </conditionalFormatting>
  <dataValidations count="1">
    <dataValidation type="list" allowBlank="1" showInputMessage="1" showErrorMessage="1" sqref="F3:F10" xr:uid="{1EB9AAD5-7528-4FC4-AEB3-39913E24CD3D}">
      <formula1>"Yes, No, In Progress, Scrapped, Moved to Next Sprint"</formula1>
    </dataValidation>
  </dataValidations>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928C4-9199-427E-AD48-35D4EC2409D3}">
  <dimension ref="A1:I30"/>
  <sheetViews>
    <sheetView workbookViewId="0">
      <selection activeCell="M20" sqref="M20"/>
    </sheetView>
  </sheetViews>
  <sheetFormatPr defaultRowHeight="14.25" x14ac:dyDescent="0.45"/>
  <cols>
    <col min="1" max="1" width="29.265625" customWidth="1"/>
    <col min="2" max="2" width="27.59765625" customWidth="1"/>
    <col min="3" max="3" width="22.59765625" customWidth="1"/>
    <col min="4" max="4" width="24.73046875" customWidth="1"/>
    <col min="5" max="5" width="19.73046875" customWidth="1"/>
    <col min="6" max="6" width="17" customWidth="1"/>
    <col min="8" max="8" width="37.3984375" bestFit="1" customWidth="1"/>
    <col min="9" max="9" width="17.73046875" bestFit="1" customWidth="1"/>
  </cols>
  <sheetData>
    <row r="1" spans="1:6" x14ac:dyDescent="0.45">
      <c r="A1" t="s">
        <v>19</v>
      </c>
    </row>
    <row r="2" spans="1:6" x14ac:dyDescent="0.45">
      <c r="A2" s="1" t="s">
        <v>0</v>
      </c>
      <c r="B2" s="2" t="s">
        <v>1</v>
      </c>
      <c r="C2" s="2" t="s">
        <v>2</v>
      </c>
      <c r="D2" s="2" t="s">
        <v>3</v>
      </c>
      <c r="E2" s="2" t="s">
        <v>4</v>
      </c>
      <c r="F2" s="2" t="s">
        <v>5</v>
      </c>
    </row>
    <row r="3" spans="1:6" x14ac:dyDescent="0.45">
      <c r="A3" t="s">
        <v>41</v>
      </c>
      <c r="B3">
        <v>500</v>
      </c>
      <c r="C3">
        <v>5</v>
      </c>
      <c r="D3">
        <v>800</v>
      </c>
      <c r="E3">
        <v>5</v>
      </c>
      <c r="F3" t="s">
        <v>21</v>
      </c>
    </row>
    <row r="4" spans="1:6" x14ac:dyDescent="0.45">
      <c r="A4" t="s">
        <v>46</v>
      </c>
      <c r="B4">
        <v>120</v>
      </c>
      <c r="C4">
        <v>3</v>
      </c>
      <c r="D4">
        <v>120</v>
      </c>
      <c r="E4">
        <v>3</v>
      </c>
      <c r="F4" t="s">
        <v>21</v>
      </c>
    </row>
    <row r="5" spans="1:6" x14ac:dyDescent="0.45">
      <c r="A5" t="s">
        <v>28</v>
      </c>
      <c r="B5">
        <v>120</v>
      </c>
      <c r="C5">
        <v>4</v>
      </c>
      <c r="E5">
        <v>5</v>
      </c>
      <c r="F5" t="s">
        <v>29</v>
      </c>
    </row>
    <row r="6" spans="1:6" x14ac:dyDescent="0.45">
      <c r="A6" s="25"/>
      <c r="B6" s="25"/>
      <c r="C6" s="25"/>
      <c r="D6" s="25"/>
      <c r="E6" s="25"/>
      <c r="F6" s="25"/>
    </row>
    <row r="7" spans="1:6" x14ac:dyDescent="0.45">
      <c r="A7" s="25"/>
      <c r="B7" s="25"/>
      <c r="C7" s="25"/>
      <c r="D7" s="25"/>
      <c r="E7" s="25"/>
      <c r="F7" s="25"/>
    </row>
    <row r="8" spans="1:6" x14ac:dyDescent="0.45">
      <c r="A8" s="25"/>
      <c r="B8" s="25"/>
      <c r="C8" s="25"/>
      <c r="D8" s="25"/>
      <c r="E8" s="25"/>
      <c r="F8" s="25"/>
    </row>
    <row r="9" spans="1:6" x14ac:dyDescent="0.45">
      <c r="A9" s="25"/>
      <c r="B9" s="25"/>
      <c r="C9" s="25"/>
      <c r="D9" s="25"/>
      <c r="E9" s="25"/>
      <c r="F9" s="25"/>
    </row>
    <row r="10" spans="1:6" x14ac:dyDescent="0.45">
      <c r="A10" s="25"/>
      <c r="B10" s="25"/>
      <c r="C10" s="25"/>
      <c r="D10" s="25"/>
      <c r="E10" s="25"/>
      <c r="F10" s="25"/>
    </row>
    <row r="19" spans="1:9" x14ac:dyDescent="0.45">
      <c r="A19" s="10" t="s">
        <v>32</v>
      </c>
      <c r="B19" s="9" t="s">
        <v>31</v>
      </c>
      <c r="C19" s="9" t="s">
        <v>33</v>
      </c>
      <c r="D19" s="9" t="s">
        <v>34</v>
      </c>
      <c r="E19" s="9" t="s">
        <v>35</v>
      </c>
      <c r="H19" t="s">
        <v>14</v>
      </c>
      <c r="I19">
        <f>SUM(Table25[Expected Completion Time])</f>
        <v>740</v>
      </c>
    </row>
    <row r="20" spans="1:9" x14ac:dyDescent="0.45">
      <c r="A20" s="5" t="s">
        <v>36</v>
      </c>
      <c r="B20" s="6">
        <f>I19</f>
        <v>740</v>
      </c>
      <c r="C20" s="6">
        <f>I20</f>
        <v>920</v>
      </c>
      <c r="D20" s="6">
        <f>I22</f>
        <v>12</v>
      </c>
      <c r="E20" s="6">
        <f>I23</f>
        <v>13</v>
      </c>
      <c r="H20" t="s">
        <v>15</v>
      </c>
      <c r="I20">
        <f>SUM(Table25[Actual Completion Time])</f>
        <v>920</v>
      </c>
    </row>
    <row r="21" spans="1:9" x14ac:dyDescent="0.45">
      <c r="A21" s="22" t="s">
        <v>41</v>
      </c>
      <c r="B21" s="4">
        <f>I19-B3</f>
        <v>240</v>
      </c>
      <c r="C21" s="4">
        <f>C20-D3</f>
        <v>120</v>
      </c>
      <c r="D21" s="4">
        <f>D20-C3</f>
        <v>7</v>
      </c>
      <c r="E21" s="4">
        <f>E20-E3</f>
        <v>8</v>
      </c>
    </row>
    <row r="22" spans="1:9" x14ac:dyDescent="0.45">
      <c r="A22" s="23" t="s">
        <v>46</v>
      </c>
      <c r="B22" s="6">
        <f>B21-B4</f>
        <v>120</v>
      </c>
      <c r="C22" s="6">
        <f>C21-D4</f>
        <v>0</v>
      </c>
      <c r="D22" s="6">
        <f>D21-C4</f>
        <v>4</v>
      </c>
      <c r="E22" s="6">
        <f>E21-E4</f>
        <v>5</v>
      </c>
      <c r="H22" t="s">
        <v>16</v>
      </c>
      <c r="I22">
        <f>SUM(Table25[Expected Effort Value])</f>
        <v>12</v>
      </c>
    </row>
    <row r="23" spans="1:9" x14ac:dyDescent="0.45">
      <c r="A23" s="27" t="s">
        <v>28</v>
      </c>
      <c r="B23" s="21">
        <f>B22-B5</f>
        <v>0</v>
      </c>
      <c r="C23" s="21">
        <f>C22-D5</f>
        <v>0</v>
      </c>
      <c r="D23" s="21">
        <f>D22-C5</f>
        <v>0</v>
      </c>
      <c r="E23" s="21">
        <f>E22-E5</f>
        <v>0</v>
      </c>
      <c r="H23" t="s">
        <v>17</v>
      </c>
      <c r="I23">
        <f>SUM(Table25[Actual Effort Value])</f>
        <v>13</v>
      </c>
    </row>
    <row r="24" spans="1:9" x14ac:dyDescent="0.45">
      <c r="A24" s="25"/>
      <c r="B24" s="25"/>
      <c r="C24" s="25"/>
      <c r="D24" s="25"/>
      <c r="E24" s="25"/>
    </row>
    <row r="25" spans="1:9" x14ac:dyDescent="0.45">
      <c r="A25" s="24"/>
      <c r="B25" s="24"/>
      <c r="C25" s="24"/>
      <c r="D25" s="24"/>
      <c r="E25" s="24"/>
    </row>
    <row r="26" spans="1:9" x14ac:dyDescent="0.45">
      <c r="A26" s="25"/>
      <c r="B26" s="25"/>
      <c r="C26" s="25"/>
      <c r="D26" s="25"/>
      <c r="E26" s="25"/>
    </row>
    <row r="27" spans="1:9" x14ac:dyDescent="0.45">
      <c r="A27" s="24"/>
      <c r="B27" s="24"/>
      <c r="C27" s="24"/>
      <c r="D27" s="24"/>
      <c r="E27" s="24"/>
    </row>
    <row r="28" spans="1:9" x14ac:dyDescent="0.45">
      <c r="A28" s="25"/>
      <c r="B28" s="25"/>
      <c r="C28" s="25"/>
      <c r="D28" s="25"/>
      <c r="E28" s="25"/>
    </row>
    <row r="29" spans="1:9" x14ac:dyDescent="0.45">
      <c r="A29" s="17"/>
      <c r="B29" s="18"/>
      <c r="C29" s="18"/>
      <c r="D29" s="18"/>
      <c r="E29" s="18"/>
    </row>
    <row r="30" spans="1:9" x14ac:dyDescent="0.45">
      <c r="A30" s="19"/>
      <c r="B30" s="20"/>
      <c r="C30" s="20"/>
      <c r="D30" s="20"/>
      <c r="E30" s="20"/>
    </row>
  </sheetData>
  <conditionalFormatting sqref="F3:F5">
    <cfRule type="cellIs" dxfId="29" priority="1" operator="equal">
      <formula>"Moved to Next Sprint"</formula>
    </cfRule>
    <cfRule type="cellIs" dxfId="28" priority="2" operator="equal">
      <formula>"Scrapped"</formula>
    </cfRule>
    <cfRule type="cellIs" dxfId="27" priority="3" operator="equal">
      <formula>"In progress"</formula>
    </cfRule>
    <cfRule type="cellIs" dxfId="26" priority="4" operator="equal">
      <formula>"Yes"</formula>
    </cfRule>
    <cfRule type="cellIs" dxfId="25" priority="5" operator="equal">
      <formula>"No"</formula>
    </cfRule>
  </conditionalFormatting>
  <dataValidations count="1">
    <dataValidation type="list" allowBlank="1" showInputMessage="1" showErrorMessage="1" sqref="F3:F5" xr:uid="{5043D348-F4AF-4FF3-8558-B5922F40DD4B}">
      <formula1>"Yes, No, In Progress, Scrapped, Moved to Next Sprint"</formula1>
    </dataValidation>
  </dataValidations>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7668B-8B8F-47A7-887F-4C614B109A9F}">
  <dimension ref="A1:I31"/>
  <sheetViews>
    <sheetView workbookViewId="0">
      <selection activeCell="N18" sqref="N18"/>
    </sheetView>
  </sheetViews>
  <sheetFormatPr defaultRowHeight="14.25" x14ac:dyDescent="0.45"/>
  <cols>
    <col min="1" max="1" width="23" customWidth="1"/>
    <col min="2" max="2" width="27.59765625" customWidth="1"/>
    <col min="3" max="3" width="22.59765625" customWidth="1"/>
    <col min="4" max="4" width="24.73046875" customWidth="1"/>
    <col min="5" max="5" width="19.73046875" customWidth="1"/>
    <col min="6" max="6" width="14.3984375" bestFit="1" customWidth="1"/>
    <col min="8" max="8" width="37.3984375" bestFit="1" customWidth="1"/>
    <col min="9" max="9" width="17.73046875" bestFit="1" customWidth="1"/>
  </cols>
  <sheetData>
    <row r="1" spans="1:6" x14ac:dyDescent="0.45">
      <c r="A1" t="s">
        <v>20</v>
      </c>
    </row>
    <row r="2" spans="1:6" x14ac:dyDescent="0.45">
      <c r="A2" s="1" t="s">
        <v>0</v>
      </c>
      <c r="B2" s="2" t="s">
        <v>1</v>
      </c>
      <c r="C2" s="2" t="s">
        <v>2</v>
      </c>
      <c r="D2" s="2" t="s">
        <v>3</v>
      </c>
      <c r="E2" s="2" t="s">
        <v>4</v>
      </c>
      <c r="F2" s="2" t="s">
        <v>5</v>
      </c>
    </row>
    <row r="3" spans="1:6" x14ac:dyDescent="0.45">
      <c r="A3" t="s">
        <v>28</v>
      </c>
      <c r="B3">
        <v>60</v>
      </c>
      <c r="C3">
        <v>4</v>
      </c>
      <c r="D3">
        <v>120</v>
      </c>
      <c r="E3">
        <v>5</v>
      </c>
      <c r="F3" t="s">
        <v>21</v>
      </c>
    </row>
    <row r="4" spans="1:6" x14ac:dyDescent="0.45">
      <c r="A4" t="s">
        <v>47</v>
      </c>
      <c r="B4">
        <v>400</v>
      </c>
      <c r="C4">
        <v>2</v>
      </c>
      <c r="D4">
        <v>320</v>
      </c>
      <c r="E4">
        <v>3</v>
      </c>
      <c r="F4" t="s">
        <v>21</v>
      </c>
    </row>
    <row r="5" spans="1:6" x14ac:dyDescent="0.45">
      <c r="A5" t="s">
        <v>48</v>
      </c>
      <c r="B5">
        <v>500</v>
      </c>
      <c r="C5">
        <v>2</v>
      </c>
      <c r="D5">
        <v>320</v>
      </c>
      <c r="E5">
        <v>2</v>
      </c>
      <c r="F5" t="s">
        <v>21</v>
      </c>
    </row>
    <row r="6" spans="1:6" x14ac:dyDescent="0.45">
      <c r="A6" t="s">
        <v>49</v>
      </c>
      <c r="B6">
        <v>120</v>
      </c>
      <c r="C6">
        <v>2</v>
      </c>
      <c r="D6">
        <v>200</v>
      </c>
      <c r="E6">
        <v>3</v>
      </c>
      <c r="F6" t="s">
        <v>21</v>
      </c>
    </row>
    <row r="7" spans="1:6" x14ac:dyDescent="0.45">
      <c r="A7" t="s">
        <v>50</v>
      </c>
      <c r="B7">
        <v>60</v>
      </c>
      <c r="C7">
        <v>1</v>
      </c>
      <c r="D7">
        <v>120</v>
      </c>
      <c r="E7">
        <v>3</v>
      </c>
      <c r="F7" t="s">
        <v>21</v>
      </c>
    </row>
    <row r="8" spans="1:6" x14ac:dyDescent="0.45">
      <c r="A8" t="s">
        <v>51</v>
      </c>
      <c r="B8">
        <v>200</v>
      </c>
      <c r="C8">
        <v>11</v>
      </c>
      <c r="D8">
        <v>200</v>
      </c>
      <c r="E8">
        <v>1</v>
      </c>
      <c r="F8" t="s">
        <v>21</v>
      </c>
    </row>
    <row r="9" spans="1:6" x14ac:dyDescent="0.45">
      <c r="A9" t="s">
        <v>52</v>
      </c>
      <c r="B9">
        <v>300</v>
      </c>
      <c r="C9">
        <v>3</v>
      </c>
      <c r="D9">
        <v>300</v>
      </c>
      <c r="E9">
        <v>3</v>
      </c>
      <c r="F9" t="s">
        <v>21</v>
      </c>
    </row>
    <row r="19" spans="1:9" x14ac:dyDescent="0.45">
      <c r="A19" s="10" t="s">
        <v>32</v>
      </c>
      <c r="B19" s="9" t="s">
        <v>31</v>
      </c>
      <c r="C19" s="9" t="s">
        <v>33</v>
      </c>
      <c r="D19" s="9" t="s">
        <v>34</v>
      </c>
      <c r="E19" s="9" t="s">
        <v>35</v>
      </c>
      <c r="H19" t="s">
        <v>14</v>
      </c>
      <c r="I19">
        <f>SUM(Table26[Expected Completion Time])</f>
        <v>1640</v>
      </c>
    </row>
    <row r="20" spans="1:9" x14ac:dyDescent="0.45">
      <c r="A20" s="11" t="s">
        <v>36</v>
      </c>
      <c r="B20" s="15">
        <f>I19</f>
        <v>1640</v>
      </c>
      <c r="C20" s="15">
        <f>I20</f>
        <v>1580</v>
      </c>
      <c r="D20" s="15">
        <f>I22</f>
        <v>25</v>
      </c>
      <c r="E20" s="15">
        <f>I23</f>
        <v>20</v>
      </c>
      <c r="H20" t="s">
        <v>15</v>
      </c>
      <c r="I20">
        <f>SUM(Table26[Actual Completion Time])</f>
        <v>1580</v>
      </c>
    </row>
    <row r="21" spans="1:9" x14ac:dyDescent="0.45">
      <c r="A21" s="22" t="s">
        <v>28</v>
      </c>
      <c r="B21" s="4">
        <f>I19-B3</f>
        <v>1580</v>
      </c>
      <c r="C21" s="4">
        <f t="shared" ref="C21:C27" si="0">C20-D3</f>
        <v>1460</v>
      </c>
      <c r="D21" s="4">
        <f t="shared" ref="D21:D27" si="1">D20-C3</f>
        <v>21</v>
      </c>
      <c r="E21" s="4">
        <f t="shared" ref="E21:E27" si="2">E20-E3</f>
        <v>15</v>
      </c>
    </row>
    <row r="22" spans="1:9" x14ac:dyDescent="0.45">
      <c r="A22" s="23" t="s">
        <v>47</v>
      </c>
      <c r="B22" s="6">
        <f t="shared" ref="B22:B27" si="3">B21-B4</f>
        <v>1180</v>
      </c>
      <c r="C22" s="6">
        <f t="shared" si="0"/>
        <v>1140</v>
      </c>
      <c r="D22" s="6">
        <f t="shared" si="1"/>
        <v>19</v>
      </c>
      <c r="E22" s="6">
        <f t="shared" si="2"/>
        <v>12</v>
      </c>
      <c r="H22" t="s">
        <v>16</v>
      </c>
      <c r="I22">
        <f>SUM(Table26[Expected Effort Value])</f>
        <v>25</v>
      </c>
    </row>
    <row r="23" spans="1:9" x14ac:dyDescent="0.45">
      <c r="A23" s="22" t="s">
        <v>48</v>
      </c>
      <c r="B23" s="4">
        <f t="shared" si="3"/>
        <v>680</v>
      </c>
      <c r="C23" s="4">
        <f t="shared" si="0"/>
        <v>820</v>
      </c>
      <c r="D23" s="4">
        <f t="shared" si="1"/>
        <v>17</v>
      </c>
      <c r="E23" s="4">
        <f t="shared" si="2"/>
        <v>10</v>
      </c>
      <c r="H23" t="s">
        <v>17</v>
      </c>
      <c r="I23">
        <f>SUM(Table26[Actual Effort Value])</f>
        <v>20</v>
      </c>
    </row>
    <row r="24" spans="1:9" x14ac:dyDescent="0.45">
      <c r="A24" s="23" t="s">
        <v>49</v>
      </c>
      <c r="B24" s="6">
        <f t="shared" si="3"/>
        <v>560</v>
      </c>
      <c r="C24" s="6">
        <f t="shared" si="0"/>
        <v>620</v>
      </c>
      <c r="D24" s="6">
        <f t="shared" si="1"/>
        <v>15</v>
      </c>
      <c r="E24" s="6">
        <f t="shared" si="2"/>
        <v>7</v>
      </c>
    </row>
    <row r="25" spans="1:9" x14ac:dyDescent="0.45">
      <c r="A25" s="22" t="s">
        <v>50</v>
      </c>
      <c r="B25" s="4">
        <f t="shared" si="3"/>
        <v>500</v>
      </c>
      <c r="C25" s="4">
        <f t="shared" si="0"/>
        <v>500</v>
      </c>
      <c r="D25" s="4">
        <f t="shared" si="1"/>
        <v>14</v>
      </c>
      <c r="E25" s="4">
        <f t="shared" si="2"/>
        <v>4</v>
      </c>
    </row>
    <row r="26" spans="1:9" x14ac:dyDescent="0.45">
      <c r="A26" s="23" t="s">
        <v>51</v>
      </c>
      <c r="B26" s="6">
        <f t="shared" si="3"/>
        <v>300</v>
      </c>
      <c r="C26" s="6">
        <f t="shared" si="0"/>
        <v>300</v>
      </c>
      <c r="D26" s="6">
        <f t="shared" si="1"/>
        <v>3</v>
      </c>
      <c r="E26" s="6">
        <f t="shared" si="2"/>
        <v>3</v>
      </c>
    </row>
    <row r="27" spans="1:9" x14ac:dyDescent="0.45">
      <c r="A27" s="22" t="s">
        <v>52</v>
      </c>
      <c r="B27" s="21">
        <f t="shared" si="3"/>
        <v>0</v>
      </c>
      <c r="C27" s="21">
        <f t="shared" si="0"/>
        <v>0</v>
      </c>
      <c r="D27" s="21">
        <f t="shared" si="1"/>
        <v>0</v>
      </c>
      <c r="E27" s="21">
        <f t="shared" si="2"/>
        <v>0</v>
      </c>
    </row>
    <row r="28" spans="1:9" x14ac:dyDescent="0.45">
      <c r="A28" s="19"/>
      <c r="B28" s="20"/>
      <c r="C28" s="20"/>
      <c r="D28" s="20"/>
      <c r="E28" s="20"/>
    </row>
    <row r="29" spans="1:9" x14ac:dyDescent="0.45">
      <c r="A29" s="17"/>
      <c r="B29" s="18"/>
      <c r="C29" s="18"/>
      <c r="D29" s="18"/>
      <c r="E29" s="18"/>
    </row>
    <row r="30" spans="1:9" x14ac:dyDescent="0.45">
      <c r="A30" s="19"/>
      <c r="B30" s="20"/>
      <c r="C30" s="20"/>
      <c r="D30" s="20"/>
      <c r="E30" s="20"/>
    </row>
    <row r="31" spans="1:9" x14ac:dyDescent="0.45">
      <c r="A31" s="20"/>
      <c r="B31" s="20"/>
      <c r="C31" s="20"/>
      <c r="D31" s="20"/>
      <c r="E31" s="20"/>
    </row>
  </sheetData>
  <conditionalFormatting sqref="F3:F9">
    <cfRule type="cellIs" dxfId="24" priority="1" operator="equal">
      <formula>"Moved to Next Sprint"</formula>
    </cfRule>
    <cfRule type="cellIs" dxfId="23" priority="2" operator="equal">
      <formula>"Scrapped"</formula>
    </cfRule>
    <cfRule type="cellIs" dxfId="22" priority="3" operator="equal">
      <formula>"In progress"</formula>
    </cfRule>
    <cfRule type="cellIs" dxfId="21" priority="4" operator="equal">
      <formula>"Yes"</formula>
    </cfRule>
    <cfRule type="cellIs" dxfId="20" priority="5" operator="equal">
      <formula>"No"</formula>
    </cfRule>
  </conditionalFormatting>
  <dataValidations count="1">
    <dataValidation type="list" allowBlank="1" showInputMessage="1" showErrorMessage="1" sqref="F3:F9" xr:uid="{1786B4B4-6ABC-4FF5-9996-FF69D05509C9}">
      <formula1>"Yes, No, In Progress, Scrapped, Moved to Next Sprint"</formula1>
    </dataValidation>
  </dataValidations>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opics xmlns="45c0638f-8904-45ab-b124-b1f7ff451179" xsi:nil="true"/>
    <TaxCatchAll xmlns="ac1d6235-51e3-4a29-8ef4-963eeebbd849" xsi:nil="true"/>
    <Details xmlns="45c0638f-8904-45ab-b124-b1f7ff451179" xsi:nil="true"/>
    <lcf76f155ced4ddcb4097134ff3c332f xmlns="45c0638f-8904-45ab-b124-b1f7ff451179">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3BF76585360BE4BB8D976A1E44FFC30" ma:contentTypeVersion="18" ma:contentTypeDescription="Create a new document." ma:contentTypeScope="" ma:versionID="7c59910c12023bee1b27b186e223e50d">
  <xsd:schema xmlns:xsd="http://www.w3.org/2001/XMLSchema" xmlns:xs="http://www.w3.org/2001/XMLSchema" xmlns:p="http://schemas.microsoft.com/office/2006/metadata/properties" xmlns:ns2="45c0638f-8904-45ab-b124-b1f7ff451179" xmlns:ns3="ac1d6235-51e3-4a29-8ef4-963eeebbd849" targetNamespace="http://schemas.microsoft.com/office/2006/metadata/properties" ma:root="true" ma:fieldsID="165ca278d637240406c07d5ce241e246" ns2:_="" ns3:_="">
    <xsd:import namespace="45c0638f-8904-45ab-b124-b1f7ff451179"/>
    <xsd:import namespace="ac1d6235-51e3-4a29-8ef4-963eeebbd84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Topics" minOccurs="0"/>
                <xsd:element ref="ns2:MediaServiceLocation" minOccurs="0"/>
                <xsd:element ref="ns2:MediaServiceSearchProperties" minOccurs="0"/>
                <xsd:element ref="ns2:MediaServiceBillingMetadata" minOccurs="0"/>
                <xsd:element ref="ns2: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5c0638f-8904-45ab-b124-b1f7ff45117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151cd1a-81c0-4f7e-8bca-7c9d41dcf3fb"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Topics" ma:index="21" nillable="true" ma:displayName="Topics" ma:format="Dropdown" ma:internalName="Topics">
      <xsd:simpleType>
        <xsd:restriction base="dms:Text">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Details" ma:index="25" nillable="true" ma:displayName="Details" ma:format="Dropdown" ma:internalName="Details">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c1d6235-51e3-4a29-8ef4-963eeebbd849"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3edadf58-48e6-41c9-9b5a-4b8859450888}" ma:internalName="TaxCatchAll" ma:showField="CatchAllData" ma:web="ac1d6235-51e3-4a29-8ef4-963eeebbd849">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324E246D-DC61-4A6B-B68E-FDF11C4F9FAB}">
  <ds:schemaRefs>
    <ds:schemaRef ds:uri="http://schemas.microsoft.com/sharepoint/v3/contenttype/forms"/>
  </ds:schemaRefs>
</ds:datastoreItem>
</file>

<file path=customXml/itemProps2.xml><?xml version="1.0" encoding="utf-8"?>
<ds:datastoreItem xmlns:ds="http://schemas.openxmlformats.org/officeDocument/2006/customXml" ds:itemID="{20BE11CF-7D05-43B2-ACCA-4685162A0919}">
  <ds:schemaRefs>
    <ds:schemaRef ds:uri="http://schemas.microsoft.com/office/2006/metadata/properties"/>
    <ds:schemaRef ds:uri="http://schemas.microsoft.com/office/infopath/2007/PartnerControls"/>
    <ds:schemaRef ds:uri="45c0638f-8904-45ab-b124-b1f7ff451179"/>
    <ds:schemaRef ds:uri="ac1d6235-51e3-4a29-8ef4-963eeebbd849"/>
  </ds:schemaRefs>
</ds:datastoreItem>
</file>

<file path=customXml/itemProps3.xml><?xml version="1.0" encoding="utf-8"?>
<ds:datastoreItem xmlns:ds="http://schemas.openxmlformats.org/officeDocument/2006/customXml" ds:itemID="{1EB853EB-B8A3-426E-8D4C-D2F63DA8D12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5c0638f-8904-45ab-b124-b1f7ff451179"/>
    <ds:schemaRef ds:uri="ac1d6235-51e3-4a29-8ef4-963eeebbd84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4366E449-544A-4EDD-AE89-6ED564F315A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Product Backlog</vt:lpstr>
      <vt:lpstr>Sprint 1</vt:lpstr>
      <vt:lpstr>Sprint 2</vt:lpstr>
      <vt:lpstr>Sprint 3</vt:lpstr>
      <vt:lpstr>Sprint 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Luke Barsby</dc:creator>
  <cp:keywords/>
  <dc:description/>
  <cp:lastModifiedBy>Edgar Pereira</cp:lastModifiedBy>
  <cp:revision/>
  <dcterms:created xsi:type="dcterms:W3CDTF">2026-02-27T16:31:19Z</dcterms:created>
  <dcterms:modified xsi:type="dcterms:W3CDTF">2026-05-08T18:02:39Z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0x010100F3BF76585360BE4BB8D976A1E44FFC30</vt:lpwstr>
  </property>
  <property fmtid="{D5CDD505-2E9C-101B-9397-08002B2CF9AE}" pid="3" name="MediaServiceImageTags">
    <vt:lpwstr/>
  </property>
</Properties>
</file>